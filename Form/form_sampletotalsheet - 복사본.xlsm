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 defaultThemeVersion="124226"/>
  <bookViews>
    <workbookView xWindow="0" yWindow="0" windowWidth="21570" windowHeight="8040"/>
  </bookViews>
  <sheets>
    <sheet name="TOTAL" sheetId="1" r:id="rId1"/>
    <sheet name="REF" sheetId="9" r:id="rId2"/>
    <sheet name="LCN" sheetId="7" r:id="rId3"/>
    <sheet name="ALL" sheetId="2" r:id="rId4"/>
    <sheet name="GF" sheetId="3" r:id="rId5"/>
    <sheet name="PPF" sheetId="4" r:id="rId6"/>
    <sheet name="Y23" sheetId="5" r:id="rId7"/>
    <sheet name="TOGETHER" sheetId="6" r:id="rId8"/>
    <sheet name="injection_form" sheetId="10" r:id="rId9"/>
    <sheet name="INJECTION" sheetId="11" r:id="rId10"/>
  </sheets>
  <functionGroups builtInGroupCount="17"/>
  <externalReferences>
    <externalReference r:id="rId11"/>
    <externalReference r:id="rId12"/>
  </externalReferences>
  <definedNames>
    <definedName name="_xlnm._FilterDatabase" localSheetId="3" hidden="1">ALL!$L$2:$N$146</definedName>
    <definedName name="_xlnm._FilterDatabase" localSheetId="4" hidden="1">GF!$B$2:$K$2</definedName>
    <definedName name="_xlnm._FilterDatabase" localSheetId="2" hidden="1">LCN!$A$2:$H$146</definedName>
    <definedName name="_xlnm._FilterDatabase" localSheetId="5" hidden="1">PPF!$B$2:$K$2</definedName>
    <definedName name="_xlnm._FilterDatabase" localSheetId="1" hidden="1">REF!$A$2:$H$146</definedName>
    <definedName name="_xlnm._FilterDatabase" localSheetId="7" hidden="1">TOGETHER!$A$2:$H$146</definedName>
    <definedName name="_xlnm._FilterDatabase" localSheetId="0" hidden="1">TOTAL!$A$2:$R$146</definedName>
    <definedName name="_xlnm._FilterDatabase" localSheetId="6" hidden="1">'Y23'!$B$2:$K$2</definedName>
    <definedName name="AutosomeReport1" localSheetId="3">[1]LocusSetList!$A$2:$A$21</definedName>
    <definedName name="AutosomeReport1" localSheetId="4">[1]LocusSetList!$A$2:$A$21</definedName>
    <definedName name="AutosomeReport1" localSheetId="2">[1]LocusSetList!$A$2:$A$21</definedName>
    <definedName name="AutosomeReport1" localSheetId="5">[1]LocusSetList!$A$2:$A$21</definedName>
    <definedName name="AutosomeReport1" localSheetId="1">[1]LocusSetList!$A$2:$A$21</definedName>
    <definedName name="AutosomeReport1" localSheetId="7">[1]LocusSetList!$A$2:$A$21</definedName>
    <definedName name="AutosomeReport1" localSheetId="6">[1]LocusSetList!$A$2:$A$21</definedName>
    <definedName name="AutosomeReport1">[2]LocusSetList!$A$2:$A$21</definedName>
    <definedName name="_xlnm.Database" localSheetId="3">#REF!</definedName>
    <definedName name="_xlnm.Database" localSheetId="4">#REF!</definedName>
    <definedName name="_xlnm.Database" localSheetId="2">#REF!</definedName>
    <definedName name="_xlnm.Database" localSheetId="5">#REF!</definedName>
    <definedName name="_xlnm.Database" localSheetId="1">#REF!</definedName>
    <definedName name="_xlnm.Database" localSheetId="7">#REF!</definedName>
    <definedName name="_xlnm.Database" localSheetId="6">#REF!</definedName>
    <definedName name="_xlnm.Database">#REF!</definedName>
    <definedName name="LocusListSet" localSheetId="3">[1]LocusSetList!$A$2:$A$21</definedName>
    <definedName name="LocusListSet" localSheetId="4">[1]LocusSetList!$A$2:$A$21</definedName>
    <definedName name="LocusListSet" localSheetId="2">[1]LocusSetList!$A$2:$A$21</definedName>
    <definedName name="LocusListSet" localSheetId="5">[1]LocusSetList!$A$2:$A$21</definedName>
    <definedName name="LocusListSet" localSheetId="1">[1]LocusSetList!$A$2:$A$21</definedName>
    <definedName name="LocusListSet" localSheetId="7">[1]LocusSetList!$A$2:$A$21</definedName>
    <definedName name="LocusListSet" localSheetId="6">[1]LocusSetList!$A$2:$A$21</definedName>
    <definedName name="LocusListSet">[2]LocusSetList!$A$2:$A$21</definedName>
    <definedName name="_xlnm.Print_Area" localSheetId="3">ALL!$A$1:$N$98</definedName>
    <definedName name="_xlnm.Print_Area" localSheetId="4">GF!$A$1:$K$98</definedName>
    <definedName name="_xlnm.Print_Area" localSheetId="2">LCN!$A$1:$K$98</definedName>
    <definedName name="_xlnm.Print_Area" localSheetId="5">PPF!$A$1:$K$98</definedName>
    <definedName name="_xlnm.Print_Area" localSheetId="1">REF!$A$1:$K$98</definedName>
    <definedName name="_xlnm.Print_Area" localSheetId="7">TOGETHER!$A$1:$K$98</definedName>
    <definedName name="_xlnm.Print_Area" localSheetId="0">TOTAL!$A$1:$K$98</definedName>
    <definedName name="_xlnm.Print_Area" localSheetId="6">'Y23'!$A$1:$K$98</definedName>
    <definedName name="print_head" localSheetId="3">#REF!</definedName>
    <definedName name="print_head" localSheetId="4">#REF!</definedName>
    <definedName name="print_head" localSheetId="2">#REF!</definedName>
    <definedName name="print_head" localSheetId="5">#REF!</definedName>
    <definedName name="print_head" localSheetId="1">#REF!</definedName>
    <definedName name="print_head" localSheetId="7">#REF!</definedName>
    <definedName name="print_head" localSheetId="6">#REF!</definedName>
    <definedName name="print_head">#REF!</definedName>
    <definedName name="_xlnm.Print_Titles" localSheetId="3">ALL!$1:$2</definedName>
    <definedName name="_xlnm.Print_Titles" localSheetId="4">GF!$1:$2</definedName>
    <definedName name="_xlnm.Print_Titles" localSheetId="2">LCN!$1:$2</definedName>
    <definedName name="_xlnm.Print_Titles" localSheetId="5">PPF!$1:$2</definedName>
    <definedName name="_xlnm.Print_Titles" localSheetId="1">REF!$1:$2</definedName>
    <definedName name="_xlnm.Print_Titles" localSheetId="7">TOGETHER!$1:$2</definedName>
    <definedName name="_xlnm.Print_Titles" localSheetId="0">TOTAL!$1:$2</definedName>
    <definedName name="_xlnm.Print_Titles" localSheetId="6">'Y23'!$1:$2</definedName>
  </definedNames>
  <calcPr calcId="144525"/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3" i="1"/>
  <c r="M4" i="1" l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N22" i="1" s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N46" i="1" s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N72" i="1" s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M3" i="1"/>
  <c r="N3" i="1" s="1"/>
  <c r="N98" i="1" l="1"/>
  <c r="L3" i="5" l="1"/>
  <c r="M3" i="5"/>
  <c r="N3" i="5" s="1"/>
  <c r="M98" i="5" l="1"/>
  <c r="N98" i="5" s="1"/>
  <c r="L98" i="5"/>
  <c r="M97" i="5"/>
  <c r="N97" i="5" s="1"/>
  <c r="L97" i="5"/>
  <c r="M96" i="5"/>
  <c r="N96" i="5" s="1"/>
  <c r="L96" i="5"/>
  <c r="M95" i="5"/>
  <c r="N95" i="5" s="1"/>
  <c r="L95" i="5"/>
  <c r="M94" i="5"/>
  <c r="N94" i="5" s="1"/>
  <c r="L94" i="5"/>
  <c r="M93" i="5"/>
  <c r="N93" i="5" s="1"/>
  <c r="L93" i="5"/>
  <c r="M92" i="5"/>
  <c r="N92" i="5" s="1"/>
  <c r="L92" i="5"/>
  <c r="M91" i="5"/>
  <c r="N91" i="5" s="1"/>
  <c r="L91" i="5"/>
  <c r="M90" i="5"/>
  <c r="N90" i="5" s="1"/>
  <c r="L90" i="5"/>
  <c r="M89" i="5"/>
  <c r="N89" i="5" s="1"/>
  <c r="L89" i="5"/>
  <c r="M88" i="5"/>
  <c r="N88" i="5" s="1"/>
  <c r="L88" i="5"/>
  <c r="M87" i="5"/>
  <c r="N87" i="5" s="1"/>
  <c r="L87" i="5"/>
  <c r="M86" i="5"/>
  <c r="N86" i="5" s="1"/>
  <c r="L86" i="5"/>
  <c r="M85" i="5"/>
  <c r="N85" i="5" s="1"/>
  <c r="L85" i="5"/>
  <c r="M84" i="5"/>
  <c r="N84" i="5" s="1"/>
  <c r="L84" i="5"/>
  <c r="M83" i="5"/>
  <c r="N83" i="5" s="1"/>
  <c r="L83" i="5"/>
  <c r="M82" i="5"/>
  <c r="N82" i="5" s="1"/>
  <c r="L82" i="5"/>
  <c r="M81" i="5"/>
  <c r="N81" i="5" s="1"/>
  <c r="L81" i="5"/>
  <c r="M80" i="5"/>
  <c r="N80" i="5" s="1"/>
  <c r="L80" i="5"/>
  <c r="M79" i="5"/>
  <c r="N79" i="5" s="1"/>
  <c r="L79" i="5"/>
  <c r="M78" i="5"/>
  <c r="N78" i="5" s="1"/>
  <c r="L78" i="5"/>
  <c r="M77" i="5"/>
  <c r="N77" i="5" s="1"/>
  <c r="L77" i="5"/>
  <c r="M76" i="5"/>
  <c r="N76" i="5" s="1"/>
  <c r="L76" i="5"/>
  <c r="M75" i="5"/>
  <c r="N75" i="5" s="1"/>
  <c r="L75" i="5"/>
  <c r="M74" i="5"/>
  <c r="N74" i="5" s="1"/>
  <c r="L74" i="5"/>
  <c r="M73" i="5"/>
  <c r="N73" i="5" s="1"/>
  <c r="L73" i="5"/>
  <c r="M72" i="5"/>
  <c r="N72" i="5" s="1"/>
  <c r="L72" i="5"/>
  <c r="M71" i="5"/>
  <c r="N71" i="5" s="1"/>
  <c r="L71" i="5"/>
  <c r="M70" i="5"/>
  <c r="N70" i="5" s="1"/>
  <c r="L70" i="5"/>
  <c r="M69" i="5"/>
  <c r="N69" i="5" s="1"/>
  <c r="L69" i="5"/>
  <c r="M68" i="5"/>
  <c r="N68" i="5" s="1"/>
  <c r="L68" i="5"/>
  <c r="M67" i="5"/>
  <c r="N67" i="5" s="1"/>
  <c r="L67" i="5"/>
  <c r="M66" i="5"/>
  <c r="N66" i="5" s="1"/>
  <c r="L66" i="5"/>
  <c r="M65" i="5"/>
  <c r="N65" i="5" s="1"/>
  <c r="L65" i="5"/>
  <c r="M64" i="5"/>
  <c r="N64" i="5" s="1"/>
  <c r="L64" i="5"/>
  <c r="M63" i="5"/>
  <c r="N63" i="5" s="1"/>
  <c r="L63" i="5"/>
  <c r="M62" i="5"/>
  <c r="N62" i="5" s="1"/>
  <c r="L62" i="5"/>
  <c r="M61" i="5"/>
  <c r="N61" i="5" s="1"/>
  <c r="L61" i="5"/>
  <c r="M60" i="5"/>
  <c r="N60" i="5" s="1"/>
  <c r="L60" i="5"/>
  <c r="M59" i="5"/>
  <c r="N59" i="5" s="1"/>
  <c r="L59" i="5"/>
  <c r="M58" i="5"/>
  <c r="N58" i="5" s="1"/>
  <c r="L58" i="5"/>
  <c r="M57" i="5"/>
  <c r="N57" i="5" s="1"/>
  <c r="L57" i="5"/>
  <c r="M56" i="5"/>
  <c r="N56" i="5" s="1"/>
  <c r="L56" i="5"/>
  <c r="M55" i="5"/>
  <c r="N55" i="5" s="1"/>
  <c r="L55" i="5"/>
  <c r="M54" i="5"/>
  <c r="N54" i="5" s="1"/>
  <c r="L54" i="5"/>
  <c r="M53" i="5"/>
  <c r="N53" i="5" s="1"/>
  <c r="L53" i="5"/>
  <c r="M52" i="5"/>
  <c r="N52" i="5" s="1"/>
  <c r="L52" i="5"/>
  <c r="M51" i="5"/>
  <c r="N51" i="5" s="1"/>
  <c r="L51" i="5"/>
  <c r="M50" i="5"/>
  <c r="N50" i="5" s="1"/>
  <c r="L50" i="5"/>
  <c r="M49" i="5"/>
  <c r="N49" i="5" s="1"/>
  <c r="L49" i="5"/>
  <c r="M48" i="5"/>
  <c r="N48" i="5" s="1"/>
  <c r="L48" i="5"/>
  <c r="M47" i="5"/>
  <c r="N47" i="5" s="1"/>
  <c r="L47" i="5"/>
  <c r="M46" i="5"/>
  <c r="N46" i="5" s="1"/>
  <c r="L46" i="5"/>
  <c r="M45" i="5"/>
  <c r="N45" i="5" s="1"/>
  <c r="L45" i="5"/>
  <c r="M44" i="5"/>
  <c r="N44" i="5" s="1"/>
  <c r="L44" i="5"/>
  <c r="M43" i="5"/>
  <c r="N43" i="5" s="1"/>
  <c r="L43" i="5"/>
  <c r="M42" i="5"/>
  <c r="N42" i="5" s="1"/>
  <c r="L42" i="5"/>
  <c r="M41" i="5"/>
  <c r="N41" i="5" s="1"/>
  <c r="L41" i="5"/>
  <c r="M40" i="5"/>
  <c r="N40" i="5" s="1"/>
  <c r="L40" i="5"/>
  <c r="M39" i="5"/>
  <c r="N39" i="5" s="1"/>
  <c r="L39" i="5"/>
  <c r="M38" i="5"/>
  <c r="N38" i="5" s="1"/>
  <c r="L38" i="5"/>
  <c r="M37" i="5"/>
  <c r="N37" i="5" s="1"/>
  <c r="L37" i="5"/>
  <c r="M36" i="5"/>
  <c r="N36" i="5" s="1"/>
  <c r="L36" i="5"/>
  <c r="M35" i="5"/>
  <c r="N35" i="5" s="1"/>
  <c r="L35" i="5"/>
  <c r="M34" i="5"/>
  <c r="N34" i="5" s="1"/>
  <c r="L34" i="5"/>
  <c r="M33" i="5"/>
  <c r="N33" i="5" s="1"/>
  <c r="L33" i="5"/>
  <c r="M32" i="5"/>
  <c r="N32" i="5" s="1"/>
  <c r="L32" i="5"/>
  <c r="M31" i="5"/>
  <c r="N31" i="5" s="1"/>
  <c r="L31" i="5"/>
  <c r="M30" i="5"/>
  <c r="N30" i="5" s="1"/>
  <c r="L30" i="5"/>
  <c r="M29" i="5"/>
  <c r="N29" i="5" s="1"/>
  <c r="L29" i="5"/>
  <c r="M28" i="5"/>
  <c r="N28" i="5" s="1"/>
  <c r="L28" i="5"/>
  <c r="M27" i="5"/>
  <c r="N27" i="5" s="1"/>
  <c r="L27" i="5"/>
  <c r="M26" i="5"/>
  <c r="N26" i="5" s="1"/>
  <c r="L26" i="5"/>
  <c r="M25" i="5"/>
  <c r="N25" i="5" s="1"/>
  <c r="L25" i="5"/>
  <c r="M24" i="5"/>
  <c r="N24" i="5" s="1"/>
  <c r="L24" i="5"/>
  <c r="M23" i="5"/>
  <c r="N23" i="5" s="1"/>
  <c r="L23" i="5"/>
  <c r="M22" i="5"/>
  <c r="N22" i="5" s="1"/>
  <c r="L22" i="5"/>
  <c r="M21" i="5"/>
  <c r="N21" i="5" s="1"/>
  <c r="L21" i="5"/>
  <c r="M20" i="5"/>
  <c r="N20" i="5" s="1"/>
  <c r="L20" i="5"/>
  <c r="M19" i="5"/>
  <c r="N19" i="5" s="1"/>
  <c r="L19" i="5"/>
  <c r="M18" i="5"/>
  <c r="N18" i="5" s="1"/>
  <c r="L18" i="5"/>
  <c r="M17" i="5"/>
  <c r="N17" i="5" s="1"/>
  <c r="L17" i="5"/>
  <c r="M16" i="5"/>
  <c r="N16" i="5" s="1"/>
  <c r="L16" i="5"/>
  <c r="M15" i="5"/>
  <c r="N15" i="5" s="1"/>
  <c r="L15" i="5"/>
  <c r="M14" i="5"/>
  <c r="N14" i="5" s="1"/>
  <c r="L14" i="5"/>
  <c r="M13" i="5"/>
  <c r="N13" i="5" s="1"/>
  <c r="L13" i="5"/>
  <c r="M12" i="5"/>
  <c r="N12" i="5" s="1"/>
  <c r="L12" i="5"/>
  <c r="M11" i="5"/>
  <c r="N11" i="5" s="1"/>
  <c r="L11" i="5"/>
  <c r="M10" i="5"/>
  <c r="N10" i="5" s="1"/>
  <c r="L10" i="5"/>
  <c r="M9" i="5"/>
  <c r="N9" i="5" s="1"/>
  <c r="L9" i="5"/>
  <c r="M8" i="5"/>
  <c r="N8" i="5" s="1"/>
  <c r="L8" i="5"/>
  <c r="M7" i="5"/>
  <c r="N7" i="5" s="1"/>
  <c r="L7" i="5"/>
  <c r="M6" i="5"/>
  <c r="N6" i="5" s="1"/>
  <c r="L6" i="5"/>
  <c r="M5" i="5"/>
  <c r="N5" i="5" s="1"/>
  <c r="L5" i="5"/>
  <c r="M4" i="5"/>
  <c r="N4" i="5" s="1"/>
  <c r="L4" i="5"/>
</calcChain>
</file>

<file path=xl/sharedStrings.xml><?xml version="1.0" encoding="utf-8"?>
<sst xmlns="http://schemas.openxmlformats.org/spreadsheetml/2006/main" count="1913" uniqueCount="369">
  <si>
    <t>Plate ID :</t>
  </si>
  <si>
    <t>Sampling Date:</t>
  </si>
  <si>
    <t/>
  </si>
  <si>
    <t>Analyst :</t>
  </si>
  <si>
    <t>증거물번호</t>
  </si>
  <si>
    <t>description</t>
  </si>
  <si>
    <t>DNA
Conc.</t>
  </si>
  <si>
    <t>Male DNA</t>
  </si>
  <si>
    <t>Large DNA</t>
  </si>
  <si>
    <t>희석배수</t>
  </si>
  <si>
    <t>PCR 
사용량</t>
  </si>
  <si>
    <t>PCR 후
희석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</si>
  <si>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</si>
  <si>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</si>
  <si>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</si>
  <si>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</si>
  <si>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</si>
  <si>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</si>
  <si>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</si>
  <si>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</si>
  <si>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</si>
  <si>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</si>
  <si>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</si>
  <si>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</si>
  <si>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</si>
  <si>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</si>
  <si>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</si>
  <si>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</si>
  <si>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</si>
  <si>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</si>
  <si>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</si>
  <si>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</si>
  <si>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</si>
  <si>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</si>
  <si>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</si>
  <si>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</si>
  <si>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</si>
  <si>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</si>
  <si>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</si>
  <si>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</si>
  <si>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</si>
  <si>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</si>
  <si>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</si>
  <si>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</si>
  <si>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</si>
  <si>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</si>
  <si>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</si>
  <si>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</si>
  <si>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</si>
  <si>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</si>
  <si>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</si>
  <si>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</si>
  <si>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</si>
  <si>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</si>
  <si>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</si>
  <si>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</si>
  <si>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</si>
  <si>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</si>
  <si>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</si>
  <si>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</si>
  <si>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</si>
  <si>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</si>
  <si>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</si>
  <si>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</si>
  <si>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</si>
  <si>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</si>
  <si>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</si>
  <si>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</si>
  <si>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</si>
  <si>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</si>
  <si>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</si>
  <si>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</si>
  <si>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</si>
  <si>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</si>
  <si>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</si>
  <si>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</si>
  <si>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</si>
  <si>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</si>
  <si>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</si>
  <si>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</si>
  <si>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</si>
  <si>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</si>
  <si>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</si>
  <si>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</si>
  <si>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</si>
  <si>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</si>
  <si>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</si>
  <si>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</si>
  <si>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</si>
  <si>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</si>
  <si>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</si>
  <si>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</si>
  <si>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</si>
  <si>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</si>
  <si>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</si>
  <si>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</si>
  <si>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</si>
  <si>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</si>
  <si>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</si>
  <si>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</si>
  <si>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</si>
  <si>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</si>
  <si>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</si>
  <si>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</si>
  <si>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</si>
  <si>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</si>
  <si>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</si>
  <si>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</si>
  <si>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</si>
  <si>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</si>
  <si>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</si>
  <si>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</si>
  <si>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</si>
  <si>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</si>
  <si>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</si>
  <si>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</si>
  <si>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</si>
  <si>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</si>
  <si>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</si>
  <si>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</si>
  <si>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</si>
  <si>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</si>
  <si>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</si>
  <si>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</si>
  <si>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</si>
  <si>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</si>
  <si>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</si>
  <si>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</si>
  <si>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</si>
  <si>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</si>
  <si>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</si>
  <si>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</si>
  <si>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</si>
  <si>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</si>
  <si>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</si>
  <si>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</si>
  <si>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</si>
  <si>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</si>
  <si>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</si>
  <si>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</si>
  <si>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</si>
  <si>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</si>
  <si>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</si>
  <si>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</si>
  <si>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</si>
  <si>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</si>
  <si>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</si>
  <si>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</si>
  <si>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</si>
  <si>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</si>
  <si>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</si>
  <si>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</si>
  <si>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</si>
  <si>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</si>
  <si>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</si>
  <si>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</si>
  <si>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PCR 사용량 추천</t>
  </si>
  <si>
    <t>DNA 입력량</t>
  </si>
  <si>
    <t>희석량 추천</t>
  </si>
  <si>
    <t>사건번호</t>
    <phoneticPr fontId="4" type="noConversion"/>
  </si>
  <si>
    <t>보조번호</t>
    <phoneticPr fontId="4" type="noConversion"/>
  </si>
  <si>
    <t>보조번호숫자</t>
    <phoneticPr fontId="4" type="noConversion"/>
  </si>
  <si>
    <t>증거물번호</t>
    <phoneticPr fontId="4" type="noConversion"/>
  </si>
  <si>
    <t xml:space="preserve">Plate ID : </t>
    <phoneticPr fontId="40" type="noConversion"/>
  </si>
  <si>
    <t xml:space="preserve">Sampling Date:  </t>
    <phoneticPr fontId="40" type="noConversion"/>
  </si>
  <si>
    <t xml:space="preserve"> </t>
    <phoneticPr fontId="40" type="noConversion"/>
  </si>
  <si>
    <t>Analyst :</t>
    <phoneticPr fontId="40" type="noConversion"/>
  </si>
  <si>
    <t>증거물번호</t>
    <phoneticPr fontId="4" type="noConversion"/>
  </si>
  <si>
    <t>DNA
Conc.</t>
    <phoneticPr fontId="40" type="noConversion"/>
  </si>
  <si>
    <t>Male DNA</t>
    <phoneticPr fontId="4" type="noConversion"/>
  </si>
  <si>
    <t>Large DNA</t>
    <phoneticPr fontId="40" type="noConversion"/>
  </si>
  <si>
    <t>희석배수</t>
    <phoneticPr fontId="40" type="noConversion"/>
  </si>
  <si>
    <t>PCR 
사용량</t>
    <phoneticPr fontId="40" type="noConversion"/>
  </si>
  <si>
    <t>PCR 후
희석</t>
    <phoneticPr fontId="40" type="noConversion"/>
  </si>
  <si>
    <t>G</t>
    <phoneticPr fontId="4" type="noConversion"/>
  </si>
  <si>
    <t>F</t>
    <phoneticPr fontId="4" type="noConversion"/>
  </si>
  <si>
    <t>Y</t>
    <phoneticPr fontId="4" type="noConversion"/>
  </si>
  <si>
    <t>144</t>
    <phoneticPr fontId="4" type="noConversion"/>
  </si>
  <si>
    <t>2020-D-184-1-2</t>
  </si>
  <si>
    <t>2020-D-184-1-3</t>
  </si>
  <si>
    <t>2020-D-184-1-4</t>
  </si>
  <si>
    <t>2020-D-185-1</t>
  </si>
  <si>
    <t>2020-D-185-2</t>
  </si>
  <si>
    <t>2020-D-186-1</t>
  </si>
  <si>
    <t>2020-D-186-2</t>
  </si>
  <si>
    <t>2020-D-196-1</t>
  </si>
  <si>
    <t>2020-D-199-1</t>
  </si>
  <si>
    <t>2020-D-199-2</t>
  </si>
  <si>
    <t>2020-D-199-3</t>
  </si>
  <si>
    <t>2020-D-199-4</t>
  </si>
  <si>
    <t>2020-D-199-5</t>
  </si>
  <si>
    <t>2020-D-199-6</t>
  </si>
  <si>
    <t>2020-D-199-7</t>
  </si>
  <si>
    <t>2020-D-200-1</t>
  </si>
  <si>
    <t>2020-D-201-1</t>
  </si>
  <si>
    <t>2020-D-201-2</t>
  </si>
  <si>
    <t>2020-D-202-1</t>
  </si>
  <si>
    <t>2020-D-202-2</t>
  </si>
  <si>
    <t>2020-D-203-1</t>
  </si>
  <si>
    <t>2020-D-204-1</t>
  </si>
  <si>
    <t>2020-D-204-2</t>
  </si>
  <si>
    <t>2020-D-204-3</t>
  </si>
  <si>
    <t>2020-D-204-4</t>
  </si>
  <si>
    <t>2020-D-205-1</t>
  </si>
  <si>
    <t>2020-D-207-1</t>
  </si>
  <si>
    <t>2020-D-208-1</t>
  </si>
  <si>
    <t>2020-D-209-1</t>
  </si>
  <si>
    <t>2020-D-210-1</t>
  </si>
  <si>
    <t>2020-D-211-1</t>
  </si>
  <si>
    <t>2020-D-212-1</t>
  </si>
  <si>
    <t>2020-D-212-2</t>
  </si>
  <si>
    <t>2020-D-213-1</t>
  </si>
  <si>
    <t>2020-D-213-2</t>
  </si>
  <si>
    <t>2020-D-213-3-1</t>
  </si>
  <si>
    <t>2020-D-213-3-2</t>
  </si>
  <si>
    <t>2020-D-216-1</t>
  </si>
  <si>
    <t>2020-D-216-2</t>
  </si>
  <si>
    <t>2020-D-216-3</t>
  </si>
  <si>
    <t>2020-D-216-4</t>
  </si>
  <si>
    <t>2020-D-216-6</t>
  </si>
  <si>
    <t>2020-D-216-7</t>
  </si>
  <si>
    <t>2020-D-216-8</t>
  </si>
  <si>
    <t>2020-D-216-9-1</t>
  </si>
  <si>
    <t>2020-D-216-9-2</t>
  </si>
  <si>
    <t>2020-D-216-9-3</t>
  </si>
  <si>
    <t>2020-D-216-9-4</t>
  </si>
  <si>
    <t>2020-D-216-9-5</t>
  </si>
  <si>
    <t>2020-D-216-10</t>
  </si>
  <si>
    <t>2020-D-216-11</t>
  </si>
  <si>
    <t>2020-D-216-15</t>
  </si>
  <si>
    <t>2020-D-197-1aF</t>
  </si>
  <si>
    <t>2020-D-197-1aM</t>
  </si>
  <si>
    <t>2020-D-197-1bF</t>
  </si>
  <si>
    <t>2020-D-197-1bM</t>
  </si>
  <si>
    <t>TYPE</t>
    <phoneticPr fontId="4" type="noConversion"/>
  </si>
  <si>
    <t>3500 Plate Layout File Version 1.0</t>
  </si>
  <si>
    <t>Plate Name</t>
  </si>
  <si>
    <t>Application Type</t>
  </si>
  <si>
    <t>Capillary Length (cm)</t>
  </si>
  <si>
    <t>Polymer</t>
  </si>
  <si>
    <t>Number of Wells</t>
  </si>
  <si>
    <t>Owner Name</t>
  </si>
  <si>
    <t>Barcode Number</t>
  </si>
  <si>
    <t>Comments</t>
  </si>
  <si>
    <t>HID</t>
  </si>
  <si>
    <t>POP4</t>
  </si>
  <si>
    <t>Well</t>
  </si>
  <si>
    <t>Sample Name</t>
  </si>
  <si>
    <t>Assay</t>
  </si>
  <si>
    <t>Results Group</t>
  </si>
  <si>
    <t>File Name Convention</t>
  </si>
  <si>
    <t>Sample Type</t>
  </si>
  <si>
    <t>User Defined Field 1</t>
  </si>
  <si>
    <t>User Defined Field 2</t>
  </si>
  <si>
    <t>User Defined Field 3</t>
  </si>
  <si>
    <t>User Defined Field 4</t>
  </si>
  <si>
    <t>User Defined Field 5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</si>
  <si>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</si>
  <si>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</si>
  <si>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</si>
  <si>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</si>
  <si>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</si>
  <si>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</si>
  <si>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</si>
  <si>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</si>
  <si>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</si>
  <si>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</si>
  <si>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</si>
  <si>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</si>
  <si>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</si>
  <si>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</si>
  <si>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</si>
  <si>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</si>
  <si>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</si>
  <si>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</si>
  <si>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</si>
  <si>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</si>
  <si>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</si>
  <si>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</si>
  <si>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</si>
  <si>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</si>
  <si>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</si>
  <si>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</si>
  <si>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</si>
  <si>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</si>
  <si>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</si>
  <si>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</si>
  <si>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</si>
  <si>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</si>
  <si>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</si>
  <si>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</si>
  <si>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</si>
  <si>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</si>
  <si>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</si>
  <si>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</si>
  <si>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</si>
  <si>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</si>
  <si>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</si>
  <si>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</si>
  <si>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</si>
  <si>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</si>
  <si>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</si>
  <si>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</si>
  <si>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</si>
  <si>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</si>
  <si>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</si>
  <si>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</si>
  <si>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</si>
  <si>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</si>
  <si>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</si>
  <si>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</si>
  <si>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</si>
  <si>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</si>
  <si>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</si>
  <si>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</si>
  <si>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</si>
  <si>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</si>
  <si>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</si>
  <si>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</si>
  <si>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</si>
  <si>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</si>
  <si>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</si>
  <si>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</si>
  <si>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</si>
  <si>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</si>
  <si>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</si>
  <si>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</si>
  <si>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</si>
  <si>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</si>
  <si>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</si>
  <si>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</si>
  <si>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</si>
  <si>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</si>
  <si>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</si>
  <si>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</si>
  <si>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</si>
  <si>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</si>
  <si>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</si>
  <si>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</si>
  <si>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</si>
  <si>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</si>
  <si>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</si>
  <si>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</si>
  <si>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</si>
  <si>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</si>
  <si>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</si>
  <si>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</si>
  <si>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</si>
  <si>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</si>
  <si>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</si>
  <si>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</si>
  <si>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</si>
  <si>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</si>
  <si>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PN_RG</t>
  </si>
  <si>
    <t>Samplename_well_capillarynumber</t>
  </si>
  <si>
    <t>Sample</t>
  </si>
  <si>
    <t>REF</t>
    <phoneticPr fontId="4" type="noConversion"/>
  </si>
  <si>
    <t>LCN</t>
    <phoneticPr fontId="4" type="noConversion"/>
  </si>
  <si>
    <t>GF</t>
    <phoneticPr fontId="4" type="noConversion"/>
  </si>
  <si>
    <t>PPF</t>
    <phoneticPr fontId="4" type="noConversion"/>
  </si>
  <si>
    <t>Y23</t>
    <phoneticPr fontId="4" type="noConversion"/>
  </si>
  <si>
    <t>TOGETHER</t>
    <phoneticPr fontId="4" type="noConversion"/>
  </si>
  <si>
    <t>20200117-KNY_LSY_MKH-LCN</t>
    <phoneticPr fontId="4" type="noConversion"/>
  </si>
  <si>
    <t>의뢰관서
(추출순-사용량순)</t>
    <phoneticPr fontId="4" type="noConversion"/>
  </si>
  <si>
    <t>추출순-사용량순</t>
  </si>
  <si>
    <t>--REPCR</t>
    <phoneticPr fontId="4" type="noConversion"/>
  </si>
  <si>
    <t>--REPCR_GF</t>
    <phoneticPr fontId="4" type="noConversion"/>
  </si>
  <si>
    <t>--PPF</t>
    <phoneticPr fontId="4" type="noConversion"/>
  </si>
  <si>
    <t>--Y23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</si>
</sst>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0.00000_);[Red]\(0.00000\)"/>
    <numFmt numFmtId="177" formatCode="#,##0.00000_);[Red]\(#,##0.00000\)"/>
    <numFmt numFmtId="178" formatCode="#,##0.0000_);[Red]\(#,##0.0000\)"/>
    <numFmt numFmtId="179" formatCode="dd\-mmm\-yy"/>
  </numFmts>
  <fonts count="4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돋움체"/>
      <family val="3"/>
      <charset val="129"/>
    </font>
    <font>
      <sz val="10"/>
      <name val="MS Gothic"/>
      <family val="2"/>
      <charset val="129"/>
    </font>
    <font>
      <sz val="8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sz val="7"/>
      <color indexed="8"/>
      <name val="맑은 고딕"/>
      <family val="3"/>
      <charset val="129"/>
      <scheme val="major"/>
    </font>
    <font>
      <sz val="7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indexed="8"/>
      <name val="맑은 고딕"/>
      <family val="3"/>
      <charset val="129"/>
      <scheme val="major"/>
    </font>
    <font>
      <sz val="8"/>
      <color indexed="10"/>
      <name val="맑은 고딕"/>
      <family val="3"/>
      <charset val="129"/>
      <scheme val="major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460">
    <xf numFmtId="0" fontId="0" fillId="0" borderId="0">
      <alignment vertical="center"/>
    </xf>
    <xf numFmtId="0" fontId="2" fillId="0" borderId="0"/>
    <xf numFmtId="41" fontId="5" fillId="0" borderId="0">
      <alignment vertical="top" wrapText="1"/>
      <protection locked="0"/>
    </xf>
    <xf numFmtId="0" fontId="6" fillId="0" borderId="0"/>
    <xf numFmtId="0" fontId="6" fillId="0" borderId="0"/>
    <xf numFmtId="0" fontId="2" fillId="0" borderId="0"/>
    <xf numFmtId="41" fontId="2" fillId="0" borderId="0"/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5" fillId="2" borderId="0">
      <alignment vertical="center"/>
    </xf>
    <xf numFmtId="0" fontId="5" fillId="2" borderId="0">
      <alignment vertical="center"/>
    </xf>
    <xf numFmtId="0" fontId="5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5" fillId="2" borderId="0">
      <alignment vertical="center"/>
    </xf>
    <xf numFmtId="0" fontId="5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5" fillId="2" borderId="0">
      <alignment vertical="center"/>
    </xf>
    <xf numFmtId="0" fontId="5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5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2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5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3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5" fillId="4" borderId="0">
      <alignment vertical="center"/>
    </xf>
    <xf numFmtId="0" fontId="5" fillId="4" borderId="0">
      <alignment vertical="center"/>
    </xf>
    <xf numFmtId="0" fontId="5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5" fillId="4" borderId="0">
      <alignment vertical="center"/>
    </xf>
    <xf numFmtId="0" fontId="5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5" fillId="4" borderId="0">
      <alignment vertical="center"/>
    </xf>
    <xf numFmtId="0" fontId="5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5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4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5" fillId="6" borderId="0">
      <alignment vertical="center"/>
    </xf>
    <xf numFmtId="0" fontId="5" fillId="6" borderId="0">
      <alignment vertical="center"/>
    </xf>
    <xf numFmtId="0" fontId="5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5" fillId="6" borderId="0">
      <alignment vertical="center"/>
    </xf>
    <xf numFmtId="0" fontId="5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5" fillId="6" borderId="0">
      <alignment vertical="center"/>
    </xf>
    <xf numFmtId="0" fontId="5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5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6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5" fillId="7" borderId="0">
      <alignment vertical="center"/>
    </xf>
    <xf numFmtId="0" fontId="5" fillId="7" borderId="0">
      <alignment vertical="center"/>
    </xf>
    <xf numFmtId="0" fontId="5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5" fillId="7" borderId="0">
      <alignment vertical="center"/>
    </xf>
    <xf numFmtId="0" fontId="5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5" fillId="7" borderId="0">
      <alignment vertical="center"/>
    </xf>
    <xf numFmtId="0" fontId="5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5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7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5" fillId="9" borderId="0">
      <alignment vertical="center"/>
    </xf>
    <xf numFmtId="0" fontId="5" fillId="9" borderId="0">
      <alignment vertical="center"/>
    </xf>
    <xf numFmtId="0" fontId="5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5" fillId="9" borderId="0">
      <alignment vertical="center"/>
    </xf>
    <xf numFmtId="0" fontId="5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5" fillId="9" borderId="0">
      <alignment vertical="center"/>
    </xf>
    <xf numFmtId="0" fontId="5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5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9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5" fillId="10" borderId="0">
      <alignment vertical="center"/>
    </xf>
    <xf numFmtId="0" fontId="5" fillId="10" borderId="0">
      <alignment vertical="center"/>
    </xf>
    <xf numFmtId="0" fontId="5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5" fillId="10" borderId="0">
      <alignment vertical="center"/>
    </xf>
    <xf numFmtId="0" fontId="5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5" fillId="10" borderId="0">
      <alignment vertical="center"/>
    </xf>
    <xf numFmtId="0" fontId="5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5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10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5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5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5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8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5" fillId="11" borderId="0">
      <alignment vertical="center"/>
    </xf>
    <xf numFmtId="0" fontId="5" fillId="11" borderId="0">
      <alignment vertical="center"/>
    </xf>
    <xf numFmtId="0" fontId="5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5" fillId="11" borderId="0">
      <alignment vertical="center"/>
    </xf>
    <xf numFmtId="0" fontId="5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5" fillId="11" borderId="0">
      <alignment vertical="center"/>
    </xf>
    <xf numFmtId="0" fontId="5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5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2" fillId="11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12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9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5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6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7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8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3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4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2" fillId="19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4" fillId="20" borderId="5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15" fillId="3" borderId="0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5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2" fillId="21" borderId="6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0" fontId="18" fillId="23" borderId="7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19" fillId="0" borderId="8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0" fillId="0" borderId="9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1" fillId="7" borderId="5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2" fillId="0" borderId="1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4" fillId="0" borderId="11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12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6" fillId="4" borderId="0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7" fillId="20" borderId="13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8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1" fillId="0" borderId="0">
      <alignment vertical="top" wrapText="1"/>
      <protection locked="0"/>
    </xf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2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" fillId="0" borderId="0"/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9" fillId="0" borderId="0">
      <alignment vertical="top" wrapText="1"/>
      <protection locked="0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9" fillId="0" borderId="0">
      <alignment vertical="top" wrapText="1"/>
      <protection locked="0"/>
    </xf>
    <xf numFmtId="0" fontId="1" fillId="0" borderId="0">
      <alignment vertical="top" wrapText="1"/>
      <protection locked="0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" fillId="0" borderId="0"/>
    <xf numFmtId="0" fontId="2" fillId="0" borderId="0"/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top" wrapText="1"/>
      <protection locked="0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31" fillId="0" borderId="0"/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5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29" fillId="0" borderId="0">
      <alignment vertical="top" wrapText="1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5" fillId="0" borderId="0">
      <alignment vertical="center"/>
    </xf>
    <xf numFmtId="0" fontId="29" fillId="0" borderId="0">
      <alignment vertical="top" wrapText="1"/>
      <protection locked="0"/>
    </xf>
    <xf numFmtId="0" fontId="29" fillId="0" borderId="0">
      <alignment vertical="top" wrapText="1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>
      <alignment vertical="center"/>
    </xf>
    <xf numFmtId="41" fontId="5" fillId="0" borderId="0" applyFont="0" applyFill="0" applyBorder="0" applyAlignment="0" applyProtection="0">
      <alignment vertical="top" wrapText="1"/>
      <protection locked="0"/>
    </xf>
  </cellStyleXfs>
  <cellXfs count="316">
    <xf numFmtId="0" fontId="0" fillId="0" borderId="0" xfId="0" applyAlignment="1">
      <alignment vertical="center"/>
    </xf>
    <xf numFmtId="49" fontId="3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49" fontId="3" fillId="0" borderId="1" xfId="1" applyNumberFormat="1" applyFont="1" applyBorder="1"/>
    <xf numFmtId="49" fontId="3" fillId="0" borderId="3" xfId="1" applyNumberFormat="1" applyFont="1" applyBorder="1"/>
    <xf numFmtId="0" fontId="10" fillId="0" borderId="3" xfId="4" applyFont="1" applyBorder="1" applyAlignment="1">
      <alignment horizontal="center" wrapText="1"/>
    </xf>
    <xf numFmtId="49" fontId="3" fillId="0" borderId="4" xfId="1" applyNumberFormat="1" applyFont="1" applyBorder="1"/>
    <xf numFmtId="49" fontId="3" fillId="0" borderId="2" xfId="1" applyNumberFormat="1" applyFont="1" applyBorder="1"/>
    <xf numFmtId="49" fontId="3" fillId="0" borderId="0" xfId="1" applyNumberFormat="1" applyFont="1" applyAlignment="1">
      <alignment horizontal="left"/>
    </xf>
    <xf numFmtId="49" fontId="3" fillId="0" borderId="0" xfId="1" applyNumberFormat="1" applyFont="1"/>
    <xf numFmtId="49" fontId="34" fillId="0" borderId="2" xfId="4" applyNumberFormat="1" applyFont="1" applyBorder="1" applyAlignment="1">
      <alignment horizontal="left" wrapText="1" shrinkToFit="1"/>
    </xf>
    <xf numFmtId="0" fontId="34" fillId="0" borderId="1" xfId="4" applyFont="1" applyBorder="1" applyAlignment="1">
      <alignment horizontal="left" wrapText="1"/>
    </xf>
    <xf numFmtId="49" fontId="33" fillId="0" borderId="1" xfId="1" applyNumberFormat="1" applyFont="1" applyBorder="1" applyAlignment="1">
      <alignment horizontal="left"/>
    </xf>
    <xf numFmtId="49" fontId="33" fillId="0" borderId="1" xfId="1" applyNumberFormat="1" applyFont="1" applyBorder="1" applyAlignment="1">
      <alignment horizontal="left" wrapText="1"/>
    </xf>
    <xf numFmtId="49" fontId="36" fillId="0" borderId="1" xfId="1" applyNumberFormat="1" applyFont="1" applyBorder="1"/>
    <xf numFmtId="0" fontId="35" fillId="0" borderId="3" xfId="3" applyFont="1" applyBorder="1" applyAlignment="1">
      <alignment horizontal="left" wrapText="1"/>
    </xf>
    <xf numFmtId="0" fontId="35" fillId="0" borderId="1" xfId="4" applyFont="1" applyBorder="1" applyAlignment="1">
      <alignment wrapText="1"/>
    </xf>
    <xf numFmtId="49" fontId="36" fillId="0" borderId="1" xfId="1" applyNumberFormat="1" applyFont="1" applyBorder="1" applyAlignment="1">
      <alignment wrapText="1"/>
    </xf>
    <xf numFmtId="49" fontId="36" fillId="0" borderId="2" xfId="1" applyNumberFormat="1" applyFont="1" applyBorder="1"/>
    <xf numFmtId="49" fontId="33" fillId="0" borderId="3" xfId="1" applyNumberFormat="1" applyFont="1" applyBorder="1" applyAlignment="1">
      <alignment horizontal="left" wrapText="1" shrinkToFit="1"/>
    </xf>
    <xf numFmtId="49" fontId="33" fillId="0" borderId="2" xfId="1" applyNumberFormat="1" applyFont="1" applyBorder="1" applyAlignment="1">
      <alignment horizontal="left"/>
    </xf>
    <xf numFmtId="49" fontId="33" fillId="0" borderId="2" xfId="1" applyNumberFormat="1" applyFont="1" applyBorder="1" applyAlignment="1">
      <alignment horizontal="left" wrapText="1" shrinkToFit="1"/>
    </xf>
    <xf numFmtId="0" fontId="9" fillId="0" borderId="1" xfId="0" applyFont="1" applyBorder="1" applyAlignment="1">
      <alignment horizontal="center" vertical="center"/>
    </xf>
    <xf numFmtId="0" fontId="11" fillId="0" borderId="2" xfId="1" applyFont="1" applyBorder="1" applyAlignment="1">
      <alignment horizontal="center"/>
    </xf>
    <xf numFmtId="49" fontId="33" fillId="0" borderId="1" xfId="1" applyNumberFormat="1" applyFont="1" applyBorder="1" applyAlignment="1">
      <alignment wrapText="1"/>
    </xf>
    <xf numFmtId="0" fontId="11" fillId="0" borderId="1" xfId="1" applyFont="1" applyBorder="1" applyAlignment="1">
      <alignment horizontal="center"/>
    </xf>
    <xf numFmtId="49" fontId="34" fillId="0" borderId="3" xfId="4" applyNumberFormat="1" applyFont="1" applyBorder="1" applyAlignment="1">
      <alignment horizontal="left" wrapText="1" shrinkToFit="1"/>
    </xf>
    <xf numFmtId="0" fontId="9" fillId="0" borderId="3" xfId="0" applyFont="1" applyBorder="1" applyAlignment="1">
      <alignment horizontal="center" vertical="center"/>
    </xf>
    <xf numFmtId="49" fontId="33" fillId="0" borderId="1" xfId="1" applyNumberFormat="1" applyFont="1" applyBorder="1" applyAlignment="1">
      <alignment horizontal="left" wrapText="1" shrinkToFit="1"/>
    </xf>
    <xf numFmtId="0" fontId="9" fillId="0" borderId="2" xfId="0" applyFont="1" applyBorder="1" applyAlignment="1">
      <alignment horizontal="center" vertical="center"/>
    </xf>
    <xf numFmtId="49" fontId="32" fillId="0" borderId="0" xfId="1" applyNumberFormat="1" applyFont="1" applyAlignment="1">
      <alignment horizontal="center" vertical="center"/>
    </xf>
    <xf numFmtId="49" fontId="32" fillId="0" borderId="0" xfId="1" applyNumberFormat="1" applyFont="1" applyAlignment="1">
      <alignment horizontal="center"/>
    </xf>
    <xf numFmtId="49" fontId="32" fillId="0" borderId="17" xfId="1" applyNumberFormat="1" applyFont="1" applyBorder="1" applyAlignment="1">
      <alignment horizontal="center"/>
    </xf>
    <xf numFmtId="49" fontId="32" fillId="0" borderId="19" xfId="1" applyNumberFormat="1" applyFont="1" applyBorder="1" applyAlignment="1">
      <alignment horizontal="center"/>
    </xf>
    <xf numFmtId="0" fontId="9" fillId="0" borderId="20" xfId="0" applyFont="1" applyBorder="1" applyAlignment="1">
      <alignment horizontal="center" vertical="center"/>
    </xf>
    <xf numFmtId="49" fontId="32" fillId="0" borderId="21" xfId="1" applyNumberFormat="1" applyFont="1" applyBorder="1" applyAlignment="1">
      <alignment horizontal="center"/>
    </xf>
    <xf numFmtId="0" fontId="9" fillId="0" borderId="18" xfId="0" quotePrefix="1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49" fontId="32" fillId="0" borderId="23" xfId="1" applyNumberFormat="1" applyFont="1" applyBorder="1" applyAlignment="1">
      <alignment horizontal="center"/>
    </xf>
    <xf numFmtId="49" fontId="33" fillId="0" borderId="24" xfId="1" applyNumberFormat="1" applyFont="1" applyBorder="1" applyAlignment="1">
      <alignment horizontal="left" wrapText="1" shrinkToFit="1"/>
    </xf>
    <xf numFmtId="0" fontId="35" fillId="0" borderId="24" xfId="3" applyFont="1" applyBorder="1" applyAlignment="1">
      <alignment horizontal="left" wrapText="1"/>
    </xf>
    <xf numFmtId="0" fontId="9" fillId="0" borderId="24" xfId="0" applyFont="1" applyBorder="1" applyAlignment="1">
      <alignment horizontal="center" vertical="center"/>
    </xf>
    <xf numFmtId="0" fontId="10" fillId="0" borderId="24" xfId="4" applyFont="1" applyBorder="1" applyAlignment="1">
      <alignment horizontal="center" wrapText="1"/>
    </xf>
    <xf numFmtId="0" fontId="9" fillId="0" borderId="25" xfId="0" applyFont="1" applyBorder="1" applyAlignment="1">
      <alignment horizontal="center" vertical="center"/>
    </xf>
    <xf numFmtId="49" fontId="32" fillId="0" borderId="26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49" fontId="32" fillId="0" borderId="14" xfId="1" applyNumberFormat="1" applyFont="1" applyBorder="1" applyAlignment="1">
      <alignment horizontal="center"/>
    </xf>
    <xf numFmtId="49" fontId="33" fillId="0" borderId="15" xfId="1" applyNumberFormat="1" applyFont="1" applyBorder="1" applyAlignment="1">
      <alignment horizontal="left" wrapText="1" shrinkToFit="1"/>
    </xf>
    <xf numFmtId="0" fontId="9" fillId="0" borderId="15" xfId="0" applyFont="1" applyBorder="1" applyAlignment="1">
      <alignment horizontal="center" vertical="center"/>
    </xf>
    <xf numFmtId="0" fontId="11" fillId="0" borderId="15" xfId="1" applyFont="1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49" fontId="36" fillId="0" borderId="0" xfId="1" applyNumberFormat="1" applyFont="1" applyAlignment="1">
      <alignment horizontal="right" vertical="center"/>
    </xf>
    <xf numFmtId="49" fontId="38" fillId="24" borderId="27" xfId="1" applyNumberFormat="1" applyFont="1" applyFill="1" applyBorder="1" applyAlignment="1">
      <alignment horizontal="center" vertical="center" wrapText="1"/>
    </xf>
    <xf numFmtId="0" fontId="37" fillId="0" borderId="1" xfId="4" applyFont="1" applyBorder="1" applyAlignment="1">
      <alignment horizontal="left"/>
    </xf>
    <xf numFmtId="49" fontId="32" fillId="0" borderId="2" xfId="1" applyNumberFormat="1" applyFont="1" applyBorder="1"/>
    <xf numFmtId="0" fontId="37" fillId="0" borderId="3" xfId="3" applyFont="1" applyBorder="1" applyAlignment="1">
      <alignment horizontal="left"/>
    </xf>
    <xf numFmtId="0" fontId="37" fillId="0" borderId="2" xfId="3" applyFont="1" applyBorder="1" applyAlignment="1">
      <alignment horizontal="left"/>
    </xf>
    <xf numFmtId="49" fontId="32" fillId="0" borderId="1" xfId="1" applyNumberFormat="1" applyFont="1" applyBorder="1"/>
    <xf numFmtId="0" fontId="37" fillId="0" borderId="24" xfId="3" applyFont="1" applyBorder="1" applyAlignment="1">
      <alignment horizontal="left"/>
    </xf>
    <xf numFmtId="49" fontId="32" fillId="0" borderId="0" xfId="1" applyNumberFormat="1" applyFont="1"/>
    <xf numFmtId="49" fontId="3" fillId="0" borderId="0" xfId="1" applyNumberFormat="1" applyFont="1" applyAlignment="1">
      <alignment horizontal="right" vertical="center"/>
    </xf>
    <xf numFmtId="176" fontId="3" fillId="0" borderId="0" xfId="1" applyNumberFormat="1" applyFont="1" applyAlignment="1">
      <alignment horizontal="center"/>
    </xf>
    <xf numFmtId="41" fontId="3" fillId="0" borderId="0" xfId="2" applyFont="1" applyAlignment="1" applyProtection="1">
      <alignment horizontal="left"/>
    </xf>
    <xf numFmtId="176" fontId="3" fillId="0" borderId="0" xfId="1" applyNumberFormat="1" applyFont="1" applyAlignment="1">
      <alignment horizontal="center" vertical="center"/>
    </xf>
    <xf numFmtId="176" fontId="3" fillId="0" borderId="27" xfId="1" applyNumberFormat="1" applyFont="1" applyBorder="1" applyAlignment="1">
      <alignment horizontal="center" vertical="center" wrapText="1"/>
    </xf>
    <xf numFmtId="176" fontId="38" fillId="24" borderId="27" xfId="1" applyNumberFormat="1" applyFont="1" applyFill="1" applyBorder="1" applyAlignment="1">
      <alignment horizontal="center" vertical="center" wrapText="1"/>
    </xf>
    <xf numFmtId="41" fontId="38" fillId="24" borderId="27" xfId="2" applyFont="1" applyFill="1" applyBorder="1" applyAlignment="1" applyProtection="1">
      <alignment horizontal="center" vertical="center" wrapText="1"/>
    </xf>
    <xf numFmtId="179" fontId="35" fillId="0" borderId="15" xfId="3" applyNumberFormat="1" applyFont="1" applyBorder="1" applyAlignment="1">
      <alignment wrapText="1"/>
    </xf>
    <xf numFmtId="178" fontId="39" fillId="0" borderId="15" xfId="3" applyNumberFormat="1" applyFont="1" applyBorder="1" applyAlignment="1">
      <alignment horizontal="center" wrapText="1"/>
    </xf>
    <xf numFmtId="178" fontId="39" fillId="0" borderId="15" xfId="2" applyNumberFormat="1" applyFont="1" applyBorder="1" applyAlignment="1" applyProtection="1">
      <alignment horizontal="center" wrapText="1"/>
    </xf>
    <xf numFmtId="178" fontId="39" fillId="0" borderId="15" xfId="4" applyNumberFormat="1" applyFont="1" applyBorder="1" applyAlignment="1">
      <alignment horizontal="center" wrapText="1"/>
    </xf>
    <xf numFmtId="178" fontId="39" fillId="0" borderId="1" xfId="3" applyNumberFormat="1" applyFont="1" applyBorder="1" applyAlignment="1">
      <alignment horizontal="center" wrapText="1"/>
    </xf>
    <xf numFmtId="178" fontId="39" fillId="0" borderId="1" xfId="2" applyNumberFormat="1" applyFont="1" applyBorder="1" applyAlignment="1" applyProtection="1">
      <alignment horizontal="center" wrapText="1"/>
    </xf>
    <xf numFmtId="178" fontId="39" fillId="0" borderId="1" xfId="4" applyNumberFormat="1" applyFont="1" applyBorder="1" applyAlignment="1">
      <alignment horizontal="center" wrapText="1"/>
    </xf>
    <xf numFmtId="179" fontId="35" fillId="0" borderId="2" xfId="3" applyNumberFormat="1" applyFont="1" applyBorder="1" applyAlignment="1">
      <alignment wrapText="1"/>
    </xf>
    <xf numFmtId="179" fontId="35" fillId="0" borderId="1" xfId="3" applyNumberFormat="1" applyFont="1" applyBorder="1" applyAlignment="1">
      <alignment wrapText="1"/>
    </xf>
    <xf numFmtId="179" fontId="35" fillId="0" borderId="3" xfId="3" applyNumberFormat="1" applyFont="1" applyBorder="1" applyAlignment="1">
      <alignment wrapText="1"/>
    </xf>
    <xf numFmtId="178" fontId="39" fillId="0" borderId="3" xfId="3" applyNumberFormat="1" applyFont="1" applyBorder="1" applyAlignment="1">
      <alignment horizontal="center" wrapText="1"/>
    </xf>
    <xf numFmtId="178" fontId="39" fillId="0" borderId="3" xfId="2" applyNumberFormat="1" applyFont="1" applyBorder="1" applyAlignment="1" applyProtection="1">
      <alignment horizontal="center" wrapText="1"/>
    </xf>
    <xf numFmtId="178" fontId="39" fillId="0" borderId="2" xfId="4" applyNumberFormat="1" applyFont="1" applyBorder="1" applyAlignment="1">
      <alignment horizontal="center" wrapText="1"/>
    </xf>
    <xf numFmtId="177" fontId="7" fillId="0" borderId="1" xfId="3" applyNumberFormat="1" applyFont="1" applyBorder="1" applyAlignment="1">
      <alignment horizontal="center" wrapText="1"/>
    </xf>
    <xf numFmtId="178" fontId="8" fillId="0" borderId="1" xfId="1" applyNumberFormat="1" applyFont="1" applyBorder="1" applyAlignment="1">
      <alignment horizontal="center"/>
    </xf>
    <xf numFmtId="177" fontId="7" fillId="0" borderId="3" xfId="3" applyNumberFormat="1" applyFont="1" applyBorder="1" applyAlignment="1">
      <alignment horizontal="center" wrapText="1"/>
    </xf>
    <xf numFmtId="178" fontId="8" fillId="0" borderId="2" xfId="1" applyNumberFormat="1" applyFont="1" applyBorder="1" applyAlignment="1">
      <alignment horizontal="center"/>
    </xf>
    <xf numFmtId="177" fontId="7" fillId="0" borderId="2" xfId="3" applyNumberFormat="1" applyFont="1" applyBorder="1" applyAlignment="1">
      <alignment horizontal="center" wrapText="1"/>
    </xf>
    <xf numFmtId="178" fontId="39" fillId="0" borderId="2" xfId="3" applyNumberFormat="1" applyFont="1" applyBorder="1" applyAlignment="1">
      <alignment horizontal="center" wrapText="1"/>
    </xf>
    <xf numFmtId="178" fontId="39" fillId="0" borderId="2" xfId="2" applyNumberFormat="1" applyFont="1" applyBorder="1" applyAlignment="1" applyProtection="1">
      <alignment horizontal="center" wrapText="1"/>
    </xf>
    <xf numFmtId="177" fontId="3" fillId="0" borderId="1" xfId="1" applyNumberFormat="1" applyFont="1" applyBorder="1" applyAlignment="1">
      <alignment horizontal="center"/>
    </xf>
    <xf numFmtId="177" fontId="7" fillId="0" borderId="24" xfId="3" applyNumberFormat="1" applyFont="1" applyBorder="1" applyAlignment="1">
      <alignment horizontal="center" wrapText="1"/>
    </xf>
    <xf numFmtId="178" fontId="39" fillId="0" borderId="24" xfId="3" applyNumberFormat="1" applyFont="1" applyBorder="1" applyAlignment="1">
      <alignment horizontal="center" wrapText="1"/>
    </xf>
    <xf numFmtId="178" fontId="39" fillId="0" borderId="24" xfId="2" applyNumberFormat="1" applyFont="1" applyBorder="1" applyAlignment="1" applyProtection="1">
      <alignment horizontal="center" wrapText="1"/>
    </xf>
    <xf numFmtId="177" fontId="7" fillId="0" borderId="15" xfId="3" applyNumberFormat="1" applyFont="1" applyBorder="1" applyAlignment="1">
      <alignment horizontal="center" wrapText="1"/>
    </xf>
    <xf numFmtId="178" fontId="10" fillId="0" borderId="15" xfId="3" applyNumberFormat="1" applyFont="1" applyBorder="1" applyAlignment="1">
      <alignment horizontal="center" wrapText="1"/>
    </xf>
    <xf numFmtId="178" fontId="10" fillId="0" borderId="15" xfId="2" applyNumberFormat="1" applyFont="1" applyBorder="1" applyAlignment="1" applyProtection="1">
      <alignment horizontal="center" wrapText="1"/>
    </xf>
    <xf numFmtId="178" fontId="10" fillId="0" borderId="15" xfId="4" applyNumberFormat="1" applyFont="1" applyBorder="1" applyAlignment="1">
      <alignment horizontal="center" wrapText="1"/>
    </xf>
    <xf numFmtId="178" fontId="10" fillId="0" borderId="1" xfId="3" applyNumberFormat="1" applyFont="1" applyBorder="1" applyAlignment="1">
      <alignment horizontal="center" wrapText="1"/>
    </xf>
    <xf numFmtId="178" fontId="10" fillId="0" borderId="1" xfId="2" applyNumberFormat="1" applyFont="1" applyBorder="1" applyAlignment="1" applyProtection="1">
      <alignment horizontal="center" wrapText="1"/>
    </xf>
    <xf numFmtId="178" fontId="10" fillId="0" borderId="1" xfId="4" applyNumberFormat="1" applyFont="1" applyBorder="1" applyAlignment="1">
      <alignment horizontal="center" wrapText="1"/>
    </xf>
    <xf numFmtId="178" fontId="10" fillId="0" borderId="3" xfId="3" applyNumberFormat="1" applyFont="1" applyBorder="1" applyAlignment="1">
      <alignment horizontal="center" wrapText="1"/>
    </xf>
    <xf numFmtId="178" fontId="10" fillId="0" borderId="3" xfId="2" applyNumberFormat="1" applyFont="1" applyBorder="1" applyAlignment="1" applyProtection="1">
      <alignment horizontal="center" wrapText="1"/>
    </xf>
    <xf numFmtId="178" fontId="10" fillId="0" borderId="2" xfId="4" applyNumberFormat="1" applyFont="1" applyBorder="1" applyAlignment="1">
      <alignment horizontal="center" wrapText="1"/>
    </xf>
    <xf numFmtId="178" fontId="11" fillId="0" borderId="1" xfId="1" applyNumberFormat="1" applyFont="1" applyBorder="1" applyAlignment="1">
      <alignment horizontal="center"/>
    </xf>
    <xf numFmtId="178" fontId="11" fillId="0" borderId="2" xfId="1" applyNumberFormat="1" applyFont="1" applyBorder="1" applyAlignment="1">
      <alignment horizontal="center"/>
    </xf>
    <xf numFmtId="178" fontId="10" fillId="0" borderId="2" xfId="3" applyNumberFormat="1" applyFont="1" applyBorder="1" applyAlignment="1">
      <alignment horizontal="center" wrapText="1"/>
    </xf>
    <xf numFmtId="178" fontId="10" fillId="0" borderId="2" xfId="2" applyNumberFormat="1" applyFont="1" applyBorder="1" applyAlignment="1" applyProtection="1">
      <alignment horizontal="center" wrapText="1"/>
    </xf>
    <xf numFmtId="178" fontId="10" fillId="0" borderId="24" xfId="3" applyNumberFormat="1" applyFont="1" applyBorder="1" applyAlignment="1">
      <alignment horizontal="center" wrapText="1"/>
    </xf>
    <xf numFmtId="178" fontId="10" fillId="0" borderId="24" xfId="2" applyNumberFormat="1" applyFont="1" applyBorder="1" applyAlignment="1" applyProtection="1">
      <alignment horizontal="center" wrapText="1"/>
    </xf>
    <xf numFmtId="49" fontId="3" fillId="0" borderId="0" xfId="1" applyNumberFormat="1" applyFont="1" applyAlignment="1">
      <alignment horizontal="left" vertical="center"/>
    </xf>
    <xf numFmtId="0" fontId="3" fillId="0" borderId="1" xfId="1" applyNumberFormat="1" applyFont="1" applyBorder="1"/>
    <xf numFmtId="49" fontId="3" fillId="0" borderId="0" xfId="1" applyNumberFormat="1" applyFont="1" applyBorder="1"/>
    <xf numFmtId="49" fontId="34" fillId="0" borderId="1" xfId="4" applyNumberFormat="1" applyFont="1" applyBorder="1" applyAlignment="1">
      <alignment horizontal="left" wrapText="1" shrinkToFit="1"/>
    </xf>
    <xf numFmtId="49" fontId="33" fillId="0" borderId="3" xfId="1" applyNumberFormat="1" applyFont="1" applyBorder="1" applyAlignment="1">
      <alignment wrapText="1"/>
    </xf>
    <xf numFmtId="0" fontId="34" fillId="0" borderId="3" xfId="4" applyFont="1" applyBorder="1" applyAlignment="1">
      <alignment horizontal="left" wrapText="1"/>
    </xf>
    <xf numFmtId="0" fontId="34" fillId="0" borderId="2" xfId="4" applyFont="1" applyBorder="1" applyAlignment="1">
      <alignment horizontal="left" wrapText="1"/>
    </xf>
    <xf numFmtId="0" fontId="35" fillId="0" borderId="3" xfId="4" applyFont="1" applyBorder="1" applyAlignment="1">
      <alignment wrapText="1"/>
    </xf>
    <xf numFmtId="49" fontId="36" fillId="0" borderId="2" xfId="1" applyNumberFormat="1" applyFont="1" applyBorder="1" applyAlignment="1">
      <alignment wrapText="1"/>
    </xf>
    <xf numFmtId="49" fontId="36" fillId="0" borderId="3" xfId="1" applyNumberFormat="1" applyFont="1" applyBorder="1"/>
    <xf numFmtId="49" fontId="36" fillId="0" borderId="3" xfId="1" applyNumberFormat="1" applyFont="1" applyBorder="1" applyAlignment="1">
      <alignment wrapText="1"/>
    </xf>
    <xf numFmtId="178" fontId="39" fillId="0" borderId="3" xfId="4" applyNumberFormat="1" applyFont="1" applyBorder="1" applyAlignment="1">
      <alignment horizontal="center" wrapText="1"/>
    </xf>
    <xf numFmtId="178" fontId="39" fillId="0" borderId="24" xfId="4" applyNumberFormat="1" applyFont="1" applyBorder="1" applyAlignment="1">
      <alignment horizontal="center" wrapText="1"/>
    </xf>
    <xf numFmtId="178" fontId="8" fillId="0" borderId="3" xfId="1" applyNumberFormat="1" applyFont="1" applyBorder="1" applyAlignment="1">
      <alignment horizontal="center"/>
    </xf>
    <xf numFmtId="0" fontId="10" fillId="0" borderId="1" xfId="4" applyFont="1" applyBorder="1" applyAlignment="1">
      <alignment horizontal="center" wrapText="1"/>
    </xf>
    <xf numFmtId="0" fontId="11" fillId="0" borderId="3" xfId="1" applyFont="1" applyBorder="1" applyAlignment="1">
      <alignment horizontal="center"/>
    </xf>
    <xf numFmtId="0" fontId="11" fillId="0" borderId="24" xfId="1" applyFont="1" applyBorder="1" applyAlignment="1">
      <alignment horizontal="center"/>
    </xf>
    <xf numFmtId="49" fontId="33" fillId="0" borderId="2" xfId="1" applyNumberFormat="1" applyFont="1" applyBorder="1" applyAlignment="1">
      <alignment wrapText="1"/>
    </xf>
    <xf numFmtId="0" fontId="35" fillId="0" borderId="1" xfId="3" applyFont="1" applyBorder="1" applyAlignment="1">
      <alignment horizontal="left" wrapText="1"/>
    </xf>
    <xf numFmtId="0" fontId="35" fillId="0" borderId="2" xfId="4" applyFont="1" applyBorder="1" applyAlignment="1">
      <alignment wrapText="1"/>
    </xf>
    <xf numFmtId="0" fontId="9" fillId="0" borderId="20" xfId="0" quotePrefix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center" vertical="center"/>
    </xf>
    <xf numFmtId="49" fontId="3" fillId="0" borderId="16" xfId="1" applyNumberFormat="1" applyFont="1" applyBorder="1" applyAlignment="1">
      <alignment horizontal="center" vertical="center"/>
    </xf>
    <xf numFmtId="0" fontId="3" fillId="0" borderId="17" xfId="1" applyNumberFormat="1" applyFont="1" applyBorder="1"/>
    <xf numFmtId="49" fontId="3" fillId="0" borderId="18" xfId="1" applyNumberFormat="1" applyFont="1" applyBorder="1"/>
    <xf numFmtId="0" fontId="3" fillId="0" borderId="3" xfId="1" applyNumberFormat="1" applyFont="1" applyBorder="1"/>
    <xf numFmtId="49" fontId="3" fillId="0" borderId="20" xfId="1" applyNumberFormat="1" applyFont="1" applyBorder="1"/>
    <xf numFmtId="49" fontId="33" fillId="0" borderId="24" xfId="1" applyNumberFormat="1" applyFont="1" applyBorder="1" applyAlignment="1">
      <alignment horizontal="left" wrapText="1"/>
    </xf>
    <xf numFmtId="0" fontId="34" fillId="0" borderId="15" xfId="4" applyFont="1" applyBorder="1" applyAlignment="1">
      <alignment horizontal="left" wrapText="1"/>
    </xf>
    <xf numFmtId="49" fontId="36" fillId="0" borderId="24" xfId="1" applyNumberFormat="1" applyFont="1" applyBorder="1" applyAlignment="1">
      <alignment wrapText="1"/>
    </xf>
    <xf numFmtId="49" fontId="36" fillId="0" borderId="15" xfId="1" applyNumberFormat="1" applyFont="1" applyBorder="1" applyAlignment="1">
      <alignment wrapText="1"/>
    </xf>
    <xf numFmtId="177" fontId="7" fillId="0" borderId="29" xfId="3" applyNumberFormat="1" applyFont="1" applyBorder="1" applyAlignment="1">
      <alignment horizontal="center" wrapText="1"/>
    </xf>
    <xf numFmtId="49" fontId="3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/>
    </xf>
    <xf numFmtId="49" fontId="3" fillId="0" borderId="0" xfId="1" applyNumberFormat="1" applyFont="1" applyAlignment="1">
      <alignment horizontal="left" vertical="center"/>
    </xf>
    <xf numFmtId="49" fontId="34" fillId="0" borderId="0" xfId="4" applyNumberFormat="1" applyFont="1" applyFill="1" applyBorder="1" applyAlignment="1">
      <alignment horizontal="center" vertical="center" shrinkToFit="1"/>
    </xf>
    <xf numFmtId="49" fontId="33" fillId="0" borderId="0" xfId="1" applyNumberFormat="1" applyFont="1" applyAlignment="1">
      <alignment horizontal="center" vertical="center"/>
    </xf>
    <xf numFmtId="49" fontId="32" fillId="0" borderId="30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176" fontId="38" fillId="24" borderId="31" xfId="1" applyNumberFormat="1" applyFont="1" applyFill="1" applyBorder="1" applyAlignment="1">
      <alignment horizontal="center" vertical="center" wrapText="1"/>
    </xf>
    <xf numFmtId="41" fontId="38" fillId="24" borderId="31" xfId="4459" applyFont="1" applyFill="1" applyBorder="1" applyAlignment="1" applyProtection="1">
      <alignment horizontal="center" vertical="center" wrapText="1"/>
    </xf>
    <xf numFmtId="49" fontId="38" fillId="24" borderId="31" xfId="1" applyNumberFormat="1" applyFont="1" applyFill="1" applyBorder="1" applyAlignment="1">
      <alignment horizontal="center" vertical="center" wrapText="1"/>
    </xf>
    <xf numFmtId="49" fontId="3" fillId="0" borderId="31" xfId="1" applyNumberFormat="1" applyFont="1" applyBorder="1" applyAlignment="1">
      <alignment horizontal="center" vertical="center" wrapText="1"/>
    </xf>
    <xf numFmtId="49" fontId="33" fillId="0" borderId="31" xfId="1" applyNumberFormat="1" applyFont="1" applyBorder="1" applyAlignment="1">
      <alignment horizontal="center" vertical="center"/>
    </xf>
    <xf numFmtId="176" fontId="33" fillId="0" borderId="31" xfId="1" applyNumberFormat="1" applyFont="1" applyBorder="1" applyAlignment="1">
      <alignment horizontal="center" vertical="center" wrapText="1"/>
    </xf>
    <xf numFmtId="49" fontId="32" fillId="0" borderId="1" xfId="1" applyNumberFormat="1" applyFont="1" applyFill="1" applyBorder="1" applyAlignment="1">
      <alignment horizontal="center"/>
    </xf>
    <xf numFmtId="0" fontId="37" fillId="0" borderId="1" xfId="3" applyFont="1" applyFill="1" applyBorder="1" applyAlignment="1">
      <alignment horizontal="left"/>
    </xf>
    <xf numFmtId="49" fontId="33" fillId="0" borderId="1" xfId="1" applyNumberFormat="1" applyFont="1" applyFill="1" applyBorder="1" applyAlignment="1">
      <alignment horizontal="left" wrapText="1" shrinkToFit="1"/>
    </xf>
    <xf numFmtId="179" fontId="35" fillId="0" borderId="1" xfId="3" applyNumberFormat="1" applyFont="1" applyFill="1" applyBorder="1" applyAlignment="1">
      <alignment wrapText="1"/>
    </xf>
    <xf numFmtId="178" fontId="39" fillId="0" borderId="1" xfId="3" applyNumberFormat="1" applyFont="1" applyFill="1" applyBorder="1" applyAlignment="1">
      <alignment horizontal="center" wrapText="1"/>
    </xf>
    <xf numFmtId="178" fontId="39" fillId="0" borderId="1" xfId="4459" applyNumberFormat="1" applyFont="1" applyFill="1" applyBorder="1" applyAlignment="1" applyProtection="1">
      <alignment horizontal="center" wrapText="1"/>
    </xf>
    <xf numFmtId="178" fontId="39" fillId="0" borderId="1" xfId="4" applyNumberFormat="1" applyFont="1" applyFill="1" applyBorder="1" applyAlignment="1">
      <alignment horizontal="center" wrapText="1"/>
    </xf>
    <xf numFmtId="0" fontId="9" fillId="0" borderId="1" xfId="0" applyNumberFormat="1" applyFont="1" applyFill="1" applyBorder="1" applyAlignment="1">
      <alignment horizontal="center" vertical="center"/>
    </xf>
    <xf numFmtId="0" fontId="11" fillId="0" borderId="1" xfId="1" applyNumberFormat="1" applyFont="1" applyFill="1" applyBorder="1" applyAlignment="1">
      <alignment horizontal="center"/>
    </xf>
    <xf numFmtId="179" fontId="34" fillId="0" borderId="1" xfId="3" applyNumberFormat="1" applyFont="1" applyFill="1" applyBorder="1" applyAlignment="1">
      <alignment horizontal="center" wrapText="1"/>
    </xf>
    <xf numFmtId="177" fontId="34" fillId="0" borderId="1" xfId="3" applyNumberFormat="1" applyFont="1" applyFill="1" applyBorder="1" applyAlignment="1">
      <alignment horizontal="center" wrapText="1"/>
    </xf>
    <xf numFmtId="49" fontId="32" fillId="0" borderId="1" xfId="1" applyNumberFormat="1" applyFont="1" applyFill="1" applyBorder="1" applyAlignment="1"/>
    <xf numFmtId="49" fontId="33" fillId="0" borderId="1" xfId="1" applyNumberFormat="1" applyFont="1" applyFill="1" applyBorder="1" applyAlignment="1">
      <alignment wrapText="1"/>
    </xf>
    <xf numFmtId="0" fontId="35" fillId="0" borderId="1" xfId="4" applyFont="1" applyFill="1" applyBorder="1" applyAlignment="1">
      <alignment wrapText="1"/>
    </xf>
    <xf numFmtId="0" fontId="34" fillId="0" borderId="1" xfId="4" applyFont="1" applyFill="1" applyBorder="1" applyAlignment="1">
      <alignment horizontal="center" wrapText="1"/>
    </xf>
    <xf numFmtId="0" fontId="37" fillId="0" borderId="1" xfId="4" applyFont="1" applyFill="1" applyBorder="1" applyAlignment="1">
      <alignment horizontal="left"/>
    </xf>
    <xf numFmtId="49" fontId="34" fillId="0" borderId="1" xfId="4" applyNumberFormat="1" applyFont="1" applyFill="1" applyBorder="1" applyAlignment="1">
      <alignment horizontal="left" wrapText="1" shrinkToFit="1"/>
    </xf>
    <xf numFmtId="49" fontId="32" fillId="0" borderId="3" xfId="1" applyNumberFormat="1" applyFont="1" applyFill="1" applyBorder="1" applyAlignment="1">
      <alignment horizontal="center"/>
    </xf>
    <xf numFmtId="49" fontId="32" fillId="0" borderId="3" xfId="1" applyNumberFormat="1" applyFont="1" applyFill="1" applyBorder="1" applyAlignment="1"/>
    <xf numFmtId="49" fontId="33" fillId="0" borderId="3" xfId="1" applyNumberFormat="1" applyFont="1" applyFill="1" applyBorder="1" applyAlignment="1">
      <alignment horizontal="left" wrapText="1" shrinkToFit="1"/>
    </xf>
    <xf numFmtId="179" fontId="35" fillId="0" borderId="3" xfId="3" applyNumberFormat="1" applyFont="1" applyFill="1" applyBorder="1" applyAlignment="1">
      <alignment wrapText="1"/>
    </xf>
    <xf numFmtId="178" fontId="39" fillId="0" borderId="3" xfId="3" applyNumberFormat="1" applyFont="1" applyFill="1" applyBorder="1" applyAlignment="1">
      <alignment horizontal="center" wrapText="1"/>
    </xf>
    <xf numFmtId="178" fontId="39" fillId="0" borderId="3" xfId="4459" applyNumberFormat="1" applyFont="1" applyFill="1" applyBorder="1" applyAlignment="1" applyProtection="1">
      <alignment horizontal="center" wrapText="1"/>
    </xf>
    <xf numFmtId="0" fontId="9" fillId="0" borderId="3" xfId="0" applyNumberFormat="1" applyFont="1" applyFill="1" applyBorder="1" applyAlignment="1">
      <alignment horizontal="center" vertical="center"/>
    </xf>
    <xf numFmtId="0" fontId="10" fillId="0" borderId="3" xfId="4" applyNumberFormat="1" applyFont="1" applyFill="1" applyBorder="1" applyAlignment="1">
      <alignment horizontal="center" wrapText="1"/>
    </xf>
    <xf numFmtId="179" fontId="34" fillId="0" borderId="3" xfId="3" applyNumberFormat="1" applyFont="1" applyFill="1" applyBorder="1" applyAlignment="1">
      <alignment horizontal="center" wrapText="1"/>
    </xf>
    <xf numFmtId="49" fontId="33" fillId="0" borderId="3" xfId="1" applyNumberFormat="1" applyFont="1" applyFill="1" applyBorder="1" applyAlignment="1">
      <alignment horizontal="center"/>
    </xf>
    <xf numFmtId="49" fontId="32" fillId="0" borderId="2" xfId="1" applyNumberFormat="1" applyFont="1" applyFill="1" applyBorder="1" applyAlignment="1">
      <alignment horizontal="center"/>
    </xf>
    <xf numFmtId="49" fontId="32" fillId="0" borderId="2" xfId="1" applyNumberFormat="1" applyFont="1" applyFill="1" applyBorder="1" applyAlignment="1"/>
    <xf numFmtId="49" fontId="33" fillId="0" borderId="2" xfId="1" applyNumberFormat="1" applyFont="1" applyFill="1" applyBorder="1" applyAlignment="1">
      <alignment wrapText="1"/>
    </xf>
    <xf numFmtId="0" fontId="35" fillId="0" borderId="2" xfId="4" applyFont="1" applyFill="1" applyBorder="1" applyAlignment="1">
      <alignment wrapText="1"/>
    </xf>
    <xf numFmtId="178" fontId="39" fillId="0" borderId="2" xfId="3" applyNumberFormat="1" applyFont="1" applyFill="1" applyBorder="1" applyAlignment="1">
      <alignment horizontal="center" wrapText="1"/>
    </xf>
    <xf numFmtId="178" fontId="39" fillId="0" borderId="2" xfId="4459" applyNumberFormat="1" applyFont="1" applyFill="1" applyBorder="1" applyAlignment="1" applyProtection="1">
      <alignment horizontal="center" wrapText="1"/>
    </xf>
    <xf numFmtId="178" fontId="39" fillId="0" borderId="2" xfId="4" applyNumberFormat="1" applyFont="1" applyFill="1" applyBorder="1" applyAlignment="1">
      <alignment horizontal="center" wrapText="1"/>
    </xf>
    <xf numFmtId="0" fontId="9" fillId="0" borderId="2" xfId="0" applyNumberFormat="1" applyFont="1" applyFill="1" applyBorder="1" applyAlignment="1">
      <alignment horizontal="center" vertical="center"/>
    </xf>
    <xf numFmtId="0" fontId="11" fillId="0" borderId="2" xfId="1" applyNumberFormat="1" applyFont="1" applyFill="1" applyBorder="1" applyAlignment="1">
      <alignment horizontal="center"/>
    </xf>
    <xf numFmtId="0" fontId="34" fillId="0" borderId="2" xfId="4" applyFont="1" applyFill="1" applyBorder="1" applyAlignment="1">
      <alignment horizontal="center" wrapText="1"/>
    </xf>
    <xf numFmtId="177" fontId="34" fillId="0" borderId="2" xfId="3" applyNumberFormat="1" applyFont="1" applyFill="1" applyBorder="1" applyAlignment="1">
      <alignment horizontal="center" wrapText="1"/>
    </xf>
    <xf numFmtId="0" fontId="34" fillId="0" borderId="1" xfId="4" applyFont="1" applyFill="1" applyBorder="1" applyAlignment="1">
      <alignment horizontal="left" wrapText="1"/>
    </xf>
    <xf numFmtId="49" fontId="36" fillId="0" borderId="1" xfId="1" applyNumberFormat="1" applyFont="1" applyFill="1" applyBorder="1" applyAlignment="1"/>
    <xf numFmtId="49" fontId="33" fillId="0" borderId="1" xfId="1" applyNumberFormat="1" applyFont="1" applyFill="1" applyBorder="1" applyAlignment="1">
      <alignment horizontal="center"/>
    </xf>
    <xf numFmtId="49" fontId="36" fillId="0" borderId="1" xfId="1" applyNumberFormat="1" applyFont="1" applyFill="1" applyBorder="1" applyAlignment="1">
      <alignment wrapText="1"/>
    </xf>
    <xf numFmtId="49" fontId="33" fillId="0" borderId="1" xfId="1" applyNumberFormat="1" applyFont="1" applyFill="1" applyBorder="1" applyAlignment="1">
      <alignment horizontal="center" wrapText="1"/>
    </xf>
    <xf numFmtId="0" fontId="9" fillId="0" borderId="1" xfId="0" quotePrefix="1" applyNumberFormat="1" applyFont="1" applyFill="1" applyBorder="1" applyAlignment="1">
      <alignment horizontal="center" vertical="center"/>
    </xf>
    <xf numFmtId="178" fontId="8" fillId="0" borderId="1" xfId="1" applyNumberFormat="1" applyFont="1" applyFill="1" applyBorder="1" applyAlignment="1">
      <alignment horizontal="center"/>
    </xf>
    <xf numFmtId="178" fontId="10" fillId="0" borderId="1" xfId="3" applyNumberFormat="1" applyFont="1" applyFill="1" applyBorder="1" applyAlignment="1">
      <alignment horizontal="center" wrapText="1"/>
    </xf>
    <xf numFmtId="178" fontId="10" fillId="0" borderId="1" xfId="4459" applyNumberFormat="1" applyFont="1" applyFill="1" applyBorder="1" applyAlignment="1" applyProtection="1">
      <alignment horizontal="center" wrapText="1"/>
    </xf>
    <xf numFmtId="178" fontId="10" fillId="0" borderId="1" xfId="4" applyNumberFormat="1" applyFont="1" applyFill="1" applyBorder="1" applyAlignment="1">
      <alignment horizontal="center" wrapText="1"/>
    </xf>
    <xf numFmtId="0" fontId="35" fillId="0" borderId="1" xfId="3" applyFont="1" applyFill="1" applyBorder="1" applyAlignment="1">
      <alignment horizontal="left" wrapText="1"/>
    </xf>
    <xf numFmtId="0" fontId="10" fillId="0" borderId="1" xfId="4" applyNumberFormat="1" applyFont="1" applyFill="1" applyBorder="1" applyAlignment="1">
      <alignment horizontal="center" wrapText="1"/>
    </xf>
    <xf numFmtId="0" fontId="34" fillId="0" borderId="1" xfId="3" applyFont="1" applyFill="1" applyBorder="1" applyAlignment="1">
      <alignment horizontal="center" wrapText="1"/>
    </xf>
    <xf numFmtId="178" fontId="11" fillId="0" borderId="1" xfId="1" applyNumberFormat="1" applyFont="1" applyFill="1" applyBorder="1" applyAlignment="1">
      <alignment horizontal="center"/>
    </xf>
    <xf numFmtId="49" fontId="33" fillId="0" borderId="1" xfId="1" applyNumberFormat="1" applyFont="1" applyFill="1" applyBorder="1" applyAlignment="1">
      <alignment horizontal="left" wrapText="1"/>
    </xf>
    <xf numFmtId="49" fontId="33" fillId="0" borderId="1" xfId="1" applyNumberFormat="1" applyFont="1" applyFill="1" applyBorder="1" applyAlignment="1">
      <alignment horizontal="left"/>
    </xf>
    <xf numFmtId="49" fontId="36" fillId="0" borderId="1" xfId="1" applyNumberFormat="1" applyFont="1" applyBorder="1" applyAlignment="1"/>
    <xf numFmtId="0" fontId="9" fillId="0" borderId="1" xfId="0" applyNumberFormat="1" applyFont="1" applyBorder="1" applyAlignment="1">
      <alignment horizontal="center" vertical="center"/>
    </xf>
    <xf numFmtId="0" fontId="11" fillId="0" borderId="1" xfId="1" applyNumberFormat="1" applyFont="1" applyBorder="1" applyAlignment="1">
      <alignment horizontal="center"/>
    </xf>
    <xf numFmtId="49" fontId="33" fillId="0" borderId="1" xfId="1" applyNumberFormat="1" applyFont="1" applyBorder="1" applyAlignment="1">
      <alignment horizontal="center"/>
    </xf>
    <xf numFmtId="49" fontId="32" fillId="0" borderId="1" xfId="1" applyNumberFormat="1" applyFont="1" applyBorder="1" applyAlignment="1"/>
    <xf numFmtId="177" fontId="33" fillId="0" borderId="1" xfId="1" applyNumberFormat="1" applyFont="1" applyBorder="1" applyAlignment="1">
      <alignment horizontal="center"/>
    </xf>
    <xf numFmtId="49" fontId="32" fillId="0" borderId="0" xfId="1" applyNumberFormat="1" applyFont="1" applyBorder="1" applyAlignment="1">
      <alignment horizontal="center"/>
    </xf>
    <xf numFmtId="49" fontId="32" fillId="0" borderId="0" xfId="1" applyNumberFormat="1" applyFont="1" applyBorder="1"/>
    <xf numFmtId="49" fontId="3" fillId="0" borderId="0" xfId="1" applyNumberFormat="1" applyFont="1" applyBorder="1" applyAlignment="1">
      <alignment horizontal="left"/>
    </xf>
    <xf numFmtId="49" fontId="3" fillId="0" borderId="0" xfId="1" applyNumberFormat="1" applyFont="1" applyBorder="1" applyAlignment="1"/>
    <xf numFmtId="49" fontId="3" fillId="0" borderId="0" xfId="1" applyNumberFormat="1" applyFont="1" applyBorder="1" applyAlignment="1">
      <alignment horizontal="center"/>
    </xf>
    <xf numFmtId="176" fontId="3" fillId="0" borderId="0" xfId="1" applyNumberFormat="1" applyFont="1" applyBorder="1" applyAlignment="1">
      <alignment horizontal="center"/>
    </xf>
    <xf numFmtId="41" fontId="3" fillId="0" borderId="0" xfId="4459" applyFont="1" applyBorder="1" applyAlignment="1" applyProtection="1">
      <alignment horizontal="left"/>
    </xf>
    <xf numFmtId="49" fontId="33" fillId="0" borderId="0" xfId="1" applyNumberFormat="1" applyFont="1" applyBorder="1" applyAlignment="1">
      <alignment horizontal="center"/>
    </xf>
    <xf numFmtId="176" fontId="33" fillId="0" borderId="0" xfId="1" applyNumberFormat="1" applyFont="1" applyBorder="1" applyAlignment="1">
      <alignment horizontal="center"/>
    </xf>
    <xf numFmtId="41" fontId="3" fillId="0" borderId="0" xfId="4459" applyFont="1" applyAlignment="1" applyProtection="1">
      <alignment horizontal="left"/>
    </xf>
    <xf numFmtId="49" fontId="3" fillId="0" borderId="0" xfId="1" applyNumberFormat="1" applyFont="1" applyAlignment="1"/>
    <xf numFmtId="49" fontId="3" fillId="0" borderId="0" xfId="1" applyNumberFormat="1" applyFont="1" applyAlignment="1">
      <alignment horizontal="center"/>
    </xf>
    <xf numFmtId="49" fontId="33" fillId="0" borderId="0" xfId="1" applyNumberFormat="1" applyFont="1" applyAlignment="1">
      <alignment horizontal="center"/>
    </xf>
    <xf numFmtId="176" fontId="33" fillId="0" borderId="0" xfId="1" applyNumberFormat="1" applyFont="1" applyAlignment="1">
      <alignment horizontal="center"/>
    </xf>
    <xf numFmtId="179" fontId="7" fillId="0" borderId="1" xfId="3" applyNumberFormat="1" applyFont="1" applyFill="1" applyBorder="1" applyAlignment="1">
      <alignment horizontal="center" wrapText="1"/>
    </xf>
    <xf numFmtId="0" fontId="7" fillId="0" borderId="1" xfId="4" applyFont="1" applyFill="1" applyBorder="1" applyAlignment="1">
      <alignment horizontal="center" wrapText="1"/>
    </xf>
    <xf numFmtId="179" fontId="7" fillId="0" borderId="3" xfId="3" applyNumberFormat="1" applyFont="1" applyFill="1" applyBorder="1" applyAlignment="1">
      <alignment horizontal="center" wrapText="1"/>
    </xf>
    <xf numFmtId="0" fontId="7" fillId="0" borderId="2" xfId="4" applyFont="1" applyFill="1" applyBorder="1" applyAlignment="1">
      <alignment horizontal="center" wrapText="1"/>
    </xf>
    <xf numFmtId="49" fontId="3" fillId="0" borderId="1" xfId="1" applyNumberFormat="1" applyFont="1" applyFill="1" applyBorder="1" applyAlignment="1">
      <alignment horizontal="center"/>
    </xf>
    <xf numFmtId="49" fontId="11" fillId="0" borderId="0" xfId="1" applyNumberFormat="1" applyFont="1" applyAlignment="1">
      <alignment horizontal="left" vertical="center"/>
    </xf>
    <xf numFmtId="49" fontId="34" fillId="0" borderId="3" xfId="4" applyNumberFormat="1" applyFont="1" applyFill="1" applyBorder="1" applyAlignment="1">
      <alignment horizontal="left" wrapText="1" shrinkToFit="1"/>
    </xf>
    <xf numFmtId="49" fontId="33" fillId="0" borderId="2" xfId="1" applyNumberFormat="1" applyFont="1" applyFill="1" applyBorder="1" applyAlignment="1">
      <alignment horizontal="left" wrapText="1" shrinkToFit="1"/>
    </xf>
    <xf numFmtId="0" fontId="34" fillId="0" borderId="2" xfId="4" applyFont="1" applyFill="1" applyBorder="1" applyAlignment="1">
      <alignment horizontal="left" wrapText="1"/>
    </xf>
    <xf numFmtId="49" fontId="33" fillId="0" borderId="3" xfId="1" applyNumberFormat="1" applyFont="1" applyFill="1" applyBorder="1" applyAlignment="1">
      <alignment wrapText="1"/>
    </xf>
    <xf numFmtId="0" fontId="34" fillId="0" borderId="3" xfId="4" applyFont="1" applyFill="1" applyBorder="1" applyAlignment="1">
      <alignment horizontal="left" wrapText="1"/>
    </xf>
    <xf numFmtId="49" fontId="36" fillId="0" borderId="2" xfId="1" applyNumberFormat="1" applyFont="1" applyFill="1" applyBorder="1" applyAlignment="1">
      <alignment wrapText="1"/>
    </xf>
    <xf numFmtId="0" fontId="35" fillId="0" borderId="3" xfId="4" applyFont="1" applyFill="1" applyBorder="1" applyAlignment="1">
      <alignment wrapText="1"/>
    </xf>
    <xf numFmtId="49" fontId="36" fillId="0" borderId="3" xfId="1" applyNumberFormat="1" applyFont="1" applyFill="1" applyBorder="1" applyAlignment="1"/>
    <xf numFmtId="178" fontId="39" fillId="0" borderId="3" xfId="4" applyNumberFormat="1" applyFont="1" applyFill="1" applyBorder="1" applyAlignment="1">
      <alignment horizontal="center" wrapText="1"/>
    </xf>
    <xf numFmtId="178" fontId="8" fillId="0" borderId="3" xfId="1" applyNumberFormat="1" applyFont="1" applyFill="1" applyBorder="1" applyAlignment="1">
      <alignment horizontal="center"/>
    </xf>
    <xf numFmtId="0" fontId="11" fillId="0" borderId="3" xfId="1" applyNumberFormat="1" applyFont="1" applyFill="1" applyBorder="1" applyAlignment="1">
      <alignment horizontal="center"/>
    </xf>
    <xf numFmtId="0" fontId="9" fillId="0" borderId="2" xfId="0" quotePrefix="1" applyNumberFormat="1" applyFont="1" applyFill="1" applyBorder="1" applyAlignment="1">
      <alignment horizontal="center" vertical="center"/>
    </xf>
    <xf numFmtId="0" fontId="9" fillId="0" borderId="3" xfId="0" quotePrefix="1" applyNumberFormat="1" applyFont="1" applyFill="1" applyBorder="1" applyAlignment="1">
      <alignment horizontal="center" vertical="center"/>
    </xf>
    <xf numFmtId="49" fontId="33" fillId="0" borderId="2" xfId="1" applyNumberFormat="1" applyFont="1" applyFill="1" applyBorder="1" applyAlignment="1">
      <alignment horizontal="center" wrapText="1"/>
    </xf>
    <xf numFmtId="0" fontId="34" fillId="0" borderId="3" xfId="4" applyFont="1" applyFill="1" applyBorder="1" applyAlignment="1">
      <alignment horizontal="center" wrapText="1"/>
    </xf>
    <xf numFmtId="177" fontId="34" fillId="0" borderId="3" xfId="3" applyNumberFormat="1" applyFont="1" applyFill="1" applyBorder="1" applyAlignment="1">
      <alignment horizontal="center" wrapText="1"/>
    </xf>
    <xf numFmtId="49" fontId="3" fillId="0" borderId="0" xfId="1" applyNumberFormat="1" applyFont="1" applyAlignment="1">
      <alignment horizontal="left" vertical="center"/>
    </xf>
    <xf numFmtId="49" fontId="0" fillId="0" borderId="0" xfId="0" quotePrefix="1" applyNumberFormat="1" applyAlignment="1">
      <alignment vertical="center"/>
    </xf>
    <xf numFmtId="49" fontId="3" fillId="0" borderId="1" xfId="1" applyNumberFormat="1" applyFont="1" applyFill="1" applyBorder="1" applyAlignment="1">
      <alignment horizontal="center" wrapText="1"/>
    </xf>
    <xf numFmtId="0" fontId="7" fillId="0" borderId="1" xfId="3" applyFont="1" applyFill="1" applyBorder="1" applyAlignment="1">
      <alignment horizontal="center" wrapText="1"/>
    </xf>
    <xf numFmtId="49" fontId="42" fillId="0" borderId="0" xfId="4" applyNumberFormat="1" applyFont="1" applyFill="1" applyBorder="1" applyAlignment="1">
      <alignment horizontal="center" vertical="center" shrinkToFit="1"/>
    </xf>
    <xf numFmtId="49" fontId="3" fillId="0" borderId="2" xfId="1" applyNumberFormat="1" applyFont="1" applyFill="1" applyBorder="1" applyAlignment="1">
      <alignment horizontal="center" wrapText="1"/>
    </xf>
    <xf numFmtId="0" fontId="7" fillId="0" borderId="3" xfId="4" applyFont="1" applyFill="1" applyBorder="1" applyAlignment="1">
      <alignment horizontal="center" wrapText="1"/>
    </xf>
    <xf numFmtId="49" fontId="3" fillId="0" borderId="3" xfId="1" applyNumberFormat="1" applyFont="1" applyFill="1" applyBorder="1" applyAlignment="1">
      <alignment horizontal="center"/>
    </xf>
    <xf numFmtId="179" fontId="42" fillId="0" borderId="1" xfId="3" applyNumberFormat="1" applyFont="1" applyFill="1" applyBorder="1" applyAlignment="1">
      <alignment horizontal="center" wrapText="1"/>
    </xf>
    <xf numFmtId="0" fontId="42" fillId="0" borderId="1" xfId="4" applyFont="1" applyFill="1" applyBorder="1" applyAlignment="1">
      <alignment horizontal="center" wrapText="1"/>
    </xf>
    <xf numFmtId="49" fontId="38" fillId="0" borderId="1" xfId="1" applyNumberFormat="1" applyFont="1" applyFill="1" applyBorder="1" applyAlignment="1">
      <alignment horizontal="center" wrapText="1"/>
    </xf>
    <xf numFmtId="49" fontId="38" fillId="0" borderId="1" xfId="1" applyNumberFormat="1" applyFont="1" applyFill="1" applyBorder="1" applyAlignment="1">
      <alignment horizontal="center"/>
    </xf>
    <xf numFmtId="179" fontId="42" fillId="0" borderId="3" xfId="3" applyNumberFormat="1" applyFont="1" applyFill="1" applyBorder="1" applyAlignment="1">
      <alignment horizontal="center" wrapText="1"/>
    </xf>
    <xf numFmtId="0" fontId="42" fillId="0" borderId="2" xfId="4" applyFont="1" applyFill="1" applyBorder="1" applyAlignment="1">
      <alignment horizontal="center" wrapText="1"/>
    </xf>
    <xf numFmtId="0" fontId="42" fillId="0" borderId="1" xfId="3" applyFont="1" applyFill="1" applyBorder="1" applyAlignment="1">
      <alignment horizontal="center" wrapText="1"/>
    </xf>
    <xf numFmtId="49" fontId="38" fillId="0" borderId="1" xfId="1" applyNumberFormat="1" applyFont="1" applyBorder="1" applyAlignment="1">
      <alignment horizontal="center"/>
    </xf>
    <xf numFmtId="49" fontId="38" fillId="0" borderId="0" xfId="1" applyNumberFormat="1" applyFont="1" applyBorder="1" applyAlignment="1">
      <alignment horizontal="center"/>
    </xf>
    <xf numFmtId="49" fontId="38" fillId="0" borderId="0" xfId="1" applyNumberFormat="1" applyFont="1" applyAlignment="1">
      <alignment horizontal="center"/>
    </xf>
    <xf numFmtId="0" fontId="29" fillId="0" borderId="0" xfId="1893">
      <alignment vertical="center"/>
    </xf>
    <xf numFmtId="49" fontId="3" fillId="0" borderId="0" xfId="1" applyNumberFormat="1" applyFont="1" applyAlignment="1">
      <alignment horizontal="left" vertical="center"/>
    </xf>
    <xf numFmtId="49" fontId="11" fillId="0" borderId="1" xfId="1" applyNumberFormat="1" applyFont="1" applyBorder="1" applyAlignment="1">
      <alignment horizontal="center"/>
    </xf>
    <xf numFmtId="49" fontId="8" fillId="0" borderId="0" xfId="1" applyNumberFormat="1" applyFont="1" applyAlignment="1">
      <alignment horizontal="center" vertical="center"/>
    </xf>
    <xf numFmtId="49" fontId="8" fillId="0" borderId="31" xfId="1" applyNumberFormat="1" applyFont="1" applyBorder="1" applyAlignment="1">
      <alignment horizontal="center" vertical="center"/>
    </xf>
    <xf numFmtId="179" fontId="39" fillId="0" borderId="1" xfId="3" applyNumberFormat="1" applyFont="1" applyFill="1" applyBorder="1" applyAlignment="1">
      <alignment horizontal="center" wrapText="1"/>
    </xf>
    <xf numFmtId="0" fontId="39" fillId="0" borderId="1" xfId="4" applyFont="1" applyFill="1" applyBorder="1" applyAlignment="1">
      <alignment horizontal="center" wrapText="1"/>
    </xf>
    <xf numFmtId="179" fontId="39" fillId="0" borderId="3" xfId="3" applyNumberFormat="1" applyFont="1" applyFill="1" applyBorder="1" applyAlignment="1">
      <alignment horizontal="center" wrapText="1"/>
    </xf>
    <xf numFmtId="0" fontId="39" fillId="0" borderId="2" xfId="4" applyFont="1" applyFill="1" applyBorder="1" applyAlignment="1">
      <alignment horizontal="center" wrapText="1"/>
    </xf>
    <xf numFmtId="49" fontId="8" fillId="0" borderId="1" xfId="1" applyNumberFormat="1" applyFont="1" applyFill="1" applyBorder="1" applyAlignment="1">
      <alignment horizontal="center"/>
    </xf>
    <xf numFmtId="49" fontId="8" fillId="0" borderId="1" xfId="1" applyNumberFormat="1" applyFont="1" applyFill="1" applyBorder="1" applyAlignment="1">
      <alignment horizontal="center" wrapText="1"/>
    </xf>
    <xf numFmtId="0" fontId="39" fillId="0" borderId="1" xfId="3" applyFont="1" applyFill="1" applyBorder="1" applyAlignment="1">
      <alignment horizontal="center" wrapText="1"/>
    </xf>
    <xf numFmtId="49" fontId="8" fillId="0" borderId="1" xfId="1" applyNumberFormat="1" applyFont="1" applyBorder="1" applyAlignment="1">
      <alignment horizontal="center"/>
    </xf>
    <xf numFmtId="49" fontId="8" fillId="0" borderId="0" xfId="1" applyNumberFormat="1" applyFont="1" applyBorder="1" applyAlignment="1">
      <alignment horizontal="center"/>
    </xf>
    <xf numFmtId="49" fontId="8" fillId="0" borderId="0" xfId="1" applyNumberFormat="1" applyFont="1" applyAlignment="1">
      <alignment horizontal="center"/>
    </xf>
    <xf numFmtId="0" fontId="39" fillId="0" borderId="15" xfId="3" applyFont="1" applyBorder="1" applyAlignment="1">
      <alignment horizontal="left"/>
    </xf>
    <xf numFmtId="49" fontId="8" fillId="0" borderId="1" xfId="1" applyNumberFormat="1" applyFont="1" applyBorder="1"/>
    <xf numFmtId="0" fontId="39" fillId="0" borderId="1" xfId="4" applyFont="1" applyBorder="1" applyAlignment="1">
      <alignment horizontal="left"/>
    </xf>
    <xf numFmtId="49" fontId="8" fillId="0" borderId="2" xfId="1" applyNumberFormat="1" applyFont="1" applyBorder="1"/>
    <xf numFmtId="0" fontId="39" fillId="0" borderId="1" xfId="3" applyFont="1" applyBorder="1" applyAlignment="1">
      <alignment horizontal="left"/>
    </xf>
    <xf numFmtId="0" fontId="39" fillId="0" borderId="3" xfId="3" applyFont="1" applyBorder="1" applyAlignment="1">
      <alignment horizontal="left"/>
    </xf>
    <xf numFmtId="49" fontId="8" fillId="0" borderId="3" xfId="1" applyNumberFormat="1" applyFont="1" applyBorder="1"/>
    <xf numFmtId="0" fontId="39" fillId="0" borderId="2" xfId="4" applyFont="1" applyBorder="1" applyAlignment="1">
      <alignment horizontal="left"/>
    </xf>
    <xf numFmtId="49" fontId="8" fillId="0" borderId="24" xfId="1" applyNumberFormat="1" applyFont="1" applyBorder="1"/>
    <xf numFmtId="0" fontId="39" fillId="0" borderId="15" xfId="4" applyFont="1" applyBorder="1" applyAlignment="1">
      <alignment horizontal="left"/>
    </xf>
    <xf numFmtId="0" fontId="39" fillId="0" borderId="3" xfId="4" applyFont="1" applyBorder="1" applyAlignment="1">
      <alignment horizontal="left"/>
    </xf>
    <xf numFmtId="0" fontId="39" fillId="0" borderId="2" xfId="3" applyFont="1" applyBorder="1" applyAlignment="1">
      <alignment horizontal="left"/>
    </xf>
    <xf numFmtId="0" fontId="39" fillId="0" borderId="24" xfId="3" applyFont="1" applyBorder="1" applyAlignment="1">
      <alignment horizontal="left"/>
    </xf>
    <xf numFmtId="179" fontId="39" fillId="0" borderId="1" xfId="3" applyNumberFormat="1" applyFont="1" applyFill="1" applyBorder="1" applyAlignment="1">
      <alignment horizontal="center" vertical="center" wrapText="1"/>
    </xf>
    <xf numFmtId="0" fontId="39" fillId="0" borderId="1" xfId="4" applyFont="1" applyFill="1" applyBorder="1" applyAlignment="1">
      <alignment horizontal="center" vertical="center" wrapText="1"/>
    </xf>
    <xf numFmtId="179" fontId="39" fillId="0" borderId="3" xfId="3" applyNumberFormat="1" applyFont="1" applyFill="1" applyBorder="1" applyAlignment="1">
      <alignment horizontal="center" vertical="center" wrapText="1"/>
    </xf>
    <xf numFmtId="0" fontId="39" fillId="0" borderId="2" xfId="4" applyFont="1" applyFill="1" applyBorder="1" applyAlignment="1">
      <alignment horizontal="center" vertical="center" wrapText="1"/>
    </xf>
    <xf numFmtId="49" fontId="8" fillId="0" borderId="1" xfId="1" applyNumberFormat="1" applyFont="1" applyFill="1" applyBorder="1" applyAlignment="1">
      <alignment horizontal="center" vertical="center"/>
    </xf>
    <xf numFmtId="49" fontId="8" fillId="0" borderId="1" xfId="1" applyNumberFormat="1" applyFont="1" applyFill="1" applyBorder="1" applyAlignment="1">
      <alignment horizontal="center" vertical="center" wrapText="1"/>
    </xf>
    <xf numFmtId="0" fontId="43" fillId="0" borderId="1" xfId="3" applyFont="1" applyFill="1" applyBorder="1" applyAlignment="1">
      <alignment horizontal="left"/>
    </xf>
    <xf numFmtId="49" fontId="43" fillId="0" borderId="1" xfId="1" applyNumberFormat="1" applyFont="1" applyFill="1" applyBorder="1" applyAlignment="1"/>
    <xf numFmtId="0" fontId="43" fillId="0" borderId="1" xfId="4" applyFont="1" applyFill="1" applyBorder="1" applyAlignment="1">
      <alignment horizontal="left"/>
    </xf>
    <xf numFmtId="49" fontId="43" fillId="0" borderId="3" xfId="1" applyNumberFormat="1" applyFont="1" applyFill="1" applyBorder="1" applyAlignment="1"/>
    <xf numFmtId="49" fontId="43" fillId="0" borderId="2" xfId="1" applyNumberFormat="1" applyFont="1" applyFill="1" applyBorder="1" applyAlignment="1"/>
    <xf numFmtId="0" fontId="43" fillId="0" borderId="3" xfId="3" applyFont="1" applyFill="1" applyBorder="1" applyAlignment="1">
      <alignment horizontal="left"/>
    </xf>
    <xf numFmtId="0" fontId="43" fillId="0" borderId="2" xfId="4" applyFont="1" applyFill="1" applyBorder="1" applyAlignment="1">
      <alignment horizontal="left"/>
    </xf>
    <xf numFmtId="0" fontId="43" fillId="0" borderId="3" xfId="4" applyFont="1" applyFill="1" applyBorder="1" applyAlignment="1">
      <alignment horizontal="left"/>
    </xf>
    <xf numFmtId="49" fontId="43" fillId="0" borderId="1" xfId="1" applyNumberFormat="1" applyFont="1" applyBorder="1" applyAlignment="1"/>
    <xf numFmtId="49" fontId="43" fillId="0" borderId="0" xfId="1" applyNumberFormat="1" applyFont="1" applyBorder="1"/>
    <xf numFmtId="49" fontId="34" fillId="0" borderId="0" xfId="4" applyNumberFormat="1" applyFont="1" applyAlignment="1">
      <alignment horizontal="left" vertical="center" shrinkToFit="1"/>
    </xf>
    <xf numFmtId="49" fontId="3" fillId="0" borderId="0" xfId="1" applyNumberFormat="1" applyFont="1" applyAlignment="1">
      <alignment horizontal="left" vertical="center"/>
    </xf>
  </cellXfs>
  <cellStyles count="4460">
    <cellStyle name="20% - 강조색1 10" xfId="7"/>
    <cellStyle name="20% - 강조색1 11" xfId="8"/>
    <cellStyle name="20% - 강조색1 12" xfId="9"/>
    <cellStyle name="20% - 강조색1 13" xfId="10"/>
    <cellStyle name="20% - 강조색1 14" xfId="11"/>
    <cellStyle name="20% - 강조색1 15" xfId="12"/>
    <cellStyle name="20% - 강조색1 16" xfId="13"/>
    <cellStyle name="20% - 강조색1 17" xfId="14"/>
    <cellStyle name="20% - 강조색1 18" xfId="15"/>
    <cellStyle name="20% - 강조색1 19" xfId="16"/>
    <cellStyle name="20% - 강조색1 2" xfId="17"/>
    <cellStyle name="20% - 강조색1 2 10" xfId="18"/>
    <cellStyle name="20% - 강조색1 2 11" xfId="19"/>
    <cellStyle name="20% - 강조색1 2 12" xfId="20"/>
    <cellStyle name="20% - 강조색1 2 13" xfId="21"/>
    <cellStyle name="20% - 강조색1 2 14" xfId="22"/>
    <cellStyle name="20% - 강조색1 2 15" xfId="23"/>
    <cellStyle name="20% - 강조색1 2 16" xfId="24"/>
    <cellStyle name="20% - 강조색1 2 2" xfId="25"/>
    <cellStyle name="20% - 강조색1 2 3" xfId="26"/>
    <cellStyle name="20% - 강조색1 2 4" xfId="27"/>
    <cellStyle name="20% - 강조색1 2 5" xfId="28"/>
    <cellStyle name="20% - 강조색1 2 6" xfId="29"/>
    <cellStyle name="20% - 강조색1 2 7" xfId="30"/>
    <cellStyle name="20% - 강조색1 2 8" xfId="31"/>
    <cellStyle name="20% - 강조색1 2 9" xfId="32"/>
    <cellStyle name="20% - 강조색1 20" xfId="33"/>
    <cellStyle name="20% - 강조색1 21" xfId="34"/>
    <cellStyle name="20% - 강조색1 22" xfId="35"/>
    <cellStyle name="20% - 강조색1 23" xfId="36"/>
    <cellStyle name="20% - 강조색1 24" xfId="37"/>
    <cellStyle name="20% - 강조색1 25" xfId="38"/>
    <cellStyle name="20% - 강조색1 26" xfId="39"/>
    <cellStyle name="20% - 강조색1 27" xfId="40"/>
    <cellStyle name="20% - 강조색1 28" xfId="41"/>
    <cellStyle name="20% - 강조색1 29" xfId="42"/>
    <cellStyle name="20% - 강조색1 3" xfId="43"/>
    <cellStyle name="20% - 강조색1 3 2" xfId="44"/>
    <cellStyle name="20% - 강조색1 3 3" xfId="45"/>
    <cellStyle name="20% - 강조색1 3 4" xfId="46"/>
    <cellStyle name="20% - 강조색1 3 5" xfId="47"/>
    <cellStyle name="20% - 강조색1 3 6" xfId="48"/>
    <cellStyle name="20% - 강조색1 3 7" xfId="49"/>
    <cellStyle name="20% - 강조색1 3 8" xfId="50"/>
    <cellStyle name="20% - 강조색1 3 9" xfId="51"/>
    <cellStyle name="20% - 강조색1 30" xfId="52"/>
    <cellStyle name="20% - 강조색1 31" xfId="53"/>
    <cellStyle name="20% - 강조색1 32" xfId="54"/>
    <cellStyle name="20% - 강조색1 33" xfId="55"/>
    <cellStyle name="20% - 강조색1 34" xfId="56"/>
    <cellStyle name="20% - 강조색1 35" xfId="57"/>
    <cellStyle name="20% - 강조색1 36" xfId="58"/>
    <cellStyle name="20% - 강조색1 37" xfId="59"/>
    <cellStyle name="20% - 강조색1 38" xfId="60"/>
    <cellStyle name="20% - 강조색1 39" xfId="61"/>
    <cellStyle name="20% - 강조색1 4" xfId="62"/>
    <cellStyle name="20% - 강조색1 4 2" xfId="63"/>
    <cellStyle name="20% - 강조색1 4 3" xfId="64"/>
    <cellStyle name="20% - 강조색1 4 4" xfId="65"/>
    <cellStyle name="20% - 강조색1 4 5" xfId="66"/>
    <cellStyle name="20% - 강조색1 4 6" xfId="67"/>
    <cellStyle name="20% - 강조색1 4 7" xfId="68"/>
    <cellStyle name="20% - 강조색1 4 8" xfId="69"/>
    <cellStyle name="20% - 강조색1 4 9" xfId="70"/>
    <cellStyle name="20% - 강조색1 40" xfId="71"/>
    <cellStyle name="20% - 강조색1 41" xfId="72"/>
    <cellStyle name="20% - 강조색1 42" xfId="73"/>
    <cellStyle name="20% - 강조색1 43" xfId="74"/>
    <cellStyle name="20% - 강조색1 44" xfId="75"/>
    <cellStyle name="20% - 강조색1 45" xfId="76"/>
    <cellStyle name="20% - 강조색1 46" xfId="77"/>
    <cellStyle name="20% - 강조색1 47" xfId="78"/>
    <cellStyle name="20% - 강조색1 48" xfId="79"/>
    <cellStyle name="20% - 강조색1 49" xfId="80"/>
    <cellStyle name="20% - 강조색1 5" xfId="81"/>
    <cellStyle name="20% - 강조색1 50" xfId="82"/>
    <cellStyle name="20% - 강조색1 51" xfId="83"/>
    <cellStyle name="20% - 강조색1 6" xfId="84"/>
    <cellStyle name="20% - 강조색1 7" xfId="85"/>
    <cellStyle name="20% - 강조색1 8" xfId="86"/>
    <cellStyle name="20% - 강조색1 9" xfId="87"/>
    <cellStyle name="20% - 강조색2 10" xfId="88"/>
    <cellStyle name="20% - 강조색2 11" xfId="89"/>
    <cellStyle name="20% - 강조색2 12" xfId="90"/>
    <cellStyle name="20% - 강조색2 13" xfId="91"/>
    <cellStyle name="20% - 강조색2 14" xfId="92"/>
    <cellStyle name="20% - 강조색2 15" xfId="93"/>
    <cellStyle name="20% - 강조색2 16" xfId="94"/>
    <cellStyle name="20% - 강조색2 17" xfId="95"/>
    <cellStyle name="20% - 강조색2 18" xfId="96"/>
    <cellStyle name="20% - 강조색2 19" xfId="97"/>
    <cellStyle name="20% - 강조색2 2" xfId="98"/>
    <cellStyle name="20% - 강조색2 2 10" xfId="99"/>
    <cellStyle name="20% - 강조색2 2 11" xfId="100"/>
    <cellStyle name="20% - 강조색2 2 12" xfId="101"/>
    <cellStyle name="20% - 강조색2 2 13" xfId="102"/>
    <cellStyle name="20% - 강조색2 2 14" xfId="103"/>
    <cellStyle name="20% - 강조색2 2 15" xfId="104"/>
    <cellStyle name="20% - 강조색2 2 16" xfId="105"/>
    <cellStyle name="20% - 강조색2 2 2" xfId="106"/>
    <cellStyle name="20% - 강조색2 2 3" xfId="107"/>
    <cellStyle name="20% - 강조색2 2 4" xfId="108"/>
    <cellStyle name="20% - 강조색2 2 5" xfId="109"/>
    <cellStyle name="20% - 강조색2 2 6" xfId="110"/>
    <cellStyle name="20% - 강조색2 2 7" xfId="111"/>
    <cellStyle name="20% - 강조색2 2 8" xfId="112"/>
    <cellStyle name="20% - 강조색2 2 9" xfId="113"/>
    <cellStyle name="20% - 강조색2 20" xfId="114"/>
    <cellStyle name="20% - 강조색2 21" xfId="115"/>
    <cellStyle name="20% - 강조색2 22" xfId="116"/>
    <cellStyle name="20% - 강조색2 23" xfId="117"/>
    <cellStyle name="20% - 강조색2 24" xfId="118"/>
    <cellStyle name="20% - 강조색2 25" xfId="119"/>
    <cellStyle name="20% - 강조색2 26" xfId="120"/>
    <cellStyle name="20% - 강조색2 27" xfId="121"/>
    <cellStyle name="20% - 강조색2 28" xfId="122"/>
    <cellStyle name="20% - 강조색2 29" xfId="123"/>
    <cellStyle name="20% - 강조색2 3" xfId="124"/>
    <cellStyle name="20% - 강조색2 3 2" xfId="125"/>
    <cellStyle name="20% - 강조색2 3 3" xfId="126"/>
    <cellStyle name="20% - 강조색2 3 4" xfId="127"/>
    <cellStyle name="20% - 강조색2 3 5" xfId="128"/>
    <cellStyle name="20% - 강조색2 3 6" xfId="129"/>
    <cellStyle name="20% - 강조색2 3 7" xfId="130"/>
    <cellStyle name="20% - 강조색2 3 8" xfId="131"/>
    <cellStyle name="20% - 강조색2 3 9" xfId="132"/>
    <cellStyle name="20% - 강조색2 30" xfId="133"/>
    <cellStyle name="20% - 강조색2 31" xfId="134"/>
    <cellStyle name="20% - 강조색2 32" xfId="135"/>
    <cellStyle name="20% - 강조색2 33" xfId="136"/>
    <cellStyle name="20% - 강조색2 34" xfId="137"/>
    <cellStyle name="20% - 강조색2 35" xfId="138"/>
    <cellStyle name="20% - 강조색2 36" xfId="139"/>
    <cellStyle name="20% - 강조색2 37" xfId="140"/>
    <cellStyle name="20% - 강조색2 38" xfId="141"/>
    <cellStyle name="20% - 강조색2 39" xfId="142"/>
    <cellStyle name="20% - 강조색2 4" xfId="143"/>
    <cellStyle name="20% - 강조색2 4 2" xfId="144"/>
    <cellStyle name="20% - 강조색2 4 3" xfId="145"/>
    <cellStyle name="20% - 강조색2 4 4" xfId="146"/>
    <cellStyle name="20% - 강조색2 4 5" xfId="147"/>
    <cellStyle name="20% - 강조색2 4 6" xfId="148"/>
    <cellStyle name="20% - 강조색2 4 7" xfId="149"/>
    <cellStyle name="20% - 강조색2 4 8" xfId="150"/>
    <cellStyle name="20% - 강조색2 4 9" xfId="151"/>
    <cellStyle name="20% - 강조색2 40" xfId="152"/>
    <cellStyle name="20% - 강조색2 41" xfId="153"/>
    <cellStyle name="20% - 강조색2 42" xfId="154"/>
    <cellStyle name="20% - 강조색2 43" xfId="155"/>
    <cellStyle name="20% - 강조색2 44" xfId="156"/>
    <cellStyle name="20% - 강조색2 45" xfId="157"/>
    <cellStyle name="20% - 강조색2 46" xfId="158"/>
    <cellStyle name="20% - 강조색2 47" xfId="159"/>
    <cellStyle name="20% - 강조색2 48" xfId="160"/>
    <cellStyle name="20% - 강조색2 49" xfId="161"/>
    <cellStyle name="20% - 강조색2 5" xfId="162"/>
    <cellStyle name="20% - 강조색2 50" xfId="163"/>
    <cellStyle name="20% - 강조색2 51" xfId="164"/>
    <cellStyle name="20% - 강조색2 6" xfId="165"/>
    <cellStyle name="20% - 강조색2 7" xfId="166"/>
    <cellStyle name="20% - 강조색2 8" xfId="167"/>
    <cellStyle name="20% - 강조색2 9" xfId="168"/>
    <cellStyle name="20% - 강조색3 10" xfId="169"/>
    <cellStyle name="20% - 강조색3 11" xfId="170"/>
    <cellStyle name="20% - 강조색3 12" xfId="171"/>
    <cellStyle name="20% - 강조색3 13" xfId="172"/>
    <cellStyle name="20% - 강조색3 14" xfId="173"/>
    <cellStyle name="20% - 강조색3 15" xfId="174"/>
    <cellStyle name="20% - 강조색3 16" xfId="175"/>
    <cellStyle name="20% - 강조색3 17" xfId="176"/>
    <cellStyle name="20% - 강조색3 18" xfId="177"/>
    <cellStyle name="20% - 강조색3 19" xfId="178"/>
    <cellStyle name="20% - 강조색3 2" xfId="179"/>
    <cellStyle name="20% - 강조색3 2 10" xfId="180"/>
    <cellStyle name="20% - 강조색3 2 11" xfId="181"/>
    <cellStyle name="20% - 강조색3 2 12" xfId="182"/>
    <cellStyle name="20% - 강조색3 2 13" xfId="183"/>
    <cellStyle name="20% - 강조색3 2 14" xfId="184"/>
    <cellStyle name="20% - 강조색3 2 15" xfId="185"/>
    <cellStyle name="20% - 강조색3 2 16" xfId="186"/>
    <cellStyle name="20% - 강조색3 2 2" xfId="187"/>
    <cellStyle name="20% - 강조색3 2 3" xfId="188"/>
    <cellStyle name="20% - 강조색3 2 4" xfId="189"/>
    <cellStyle name="20% - 강조색3 2 5" xfId="190"/>
    <cellStyle name="20% - 강조색3 2 6" xfId="191"/>
    <cellStyle name="20% - 강조색3 2 7" xfId="192"/>
    <cellStyle name="20% - 강조색3 2 8" xfId="193"/>
    <cellStyle name="20% - 강조색3 2 9" xfId="194"/>
    <cellStyle name="20% - 강조색3 20" xfId="195"/>
    <cellStyle name="20% - 강조색3 21" xfId="196"/>
    <cellStyle name="20% - 강조색3 22" xfId="197"/>
    <cellStyle name="20% - 강조색3 23" xfId="198"/>
    <cellStyle name="20% - 강조색3 24" xfId="199"/>
    <cellStyle name="20% - 강조색3 25" xfId="200"/>
    <cellStyle name="20% - 강조색3 26" xfId="201"/>
    <cellStyle name="20% - 강조색3 27" xfId="202"/>
    <cellStyle name="20% - 강조색3 28" xfId="203"/>
    <cellStyle name="20% - 강조색3 29" xfId="204"/>
    <cellStyle name="20% - 강조색3 3" xfId="205"/>
    <cellStyle name="20% - 강조색3 3 2" xfId="206"/>
    <cellStyle name="20% - 강조색3 3 3" xfId="207"/>
    <cellStyle name="20% - 강조색3 3 4" xfId="208"/>
    <cellStyle name="20% - 강조색3 3 5" xfId="209"/>
    <cellStyle name="20% - 강조색3 3 6" xfId="210"/>
    <cellStyle name="20% - 강조색3 3 7" xfId="211"/>
    <cellStyle name="20% - 강조색3 3 8" xfId="212"/>
    <cellStyle name="20% - 강조색3 3 9" xfId="213"/>
    <cellStyle name="20% - 강조색3 30" xfId="214"/>
    <cellStyle name="20% - 강조색3 31" xfId="215"/>
    <cellStyle name="20% - 강조색3 32" xfId="216"/>
    <cellStyle name="20% - 강조색3 33" xfId="217"/>
    <cellStyle name="20% - 강조색3 34" xfId="218"/>
    <cellStyle name="20% - 강조색3 35" xfId="219"/>
    <cellStyle name="20% - 강조색3 36" xfId="220"/>
    <cellStyle name="20% - 강조색3 37" xfId="221"/>
    <cellStyle name="20% - 강조색3 38" xfId="222"/>
    <cellStyle name="20% - 강조색3 39" xfId="223"/>
    <cellStyle name="20% - 강조색3 4" xfId="224"/>
    <cellStyle name="20% - 강조색3 4 2" xfId="225"/>
    <cellStyle name="20% - 강조색3 4 3" xfId="226"/>
    <cellStyle name="20% - 강조색3 4 4" xfId="227"/>
    <cellStyle name="20% - 강조색3 4 5" xfId="228"/>
    <cellStyle name="20% - 강조색3 4 6" xfId="229"/>
    <cellStyle name="20% - 강조색3 4 7" xfId="230"/>
    <cellStyle name="20% - 강조색3 4 8" xfId="231"/>
    <cellStyle name="20% - 강조색3 4 9" xfId="232"/>
    <cellStyle name="20% - 강조색3 40" xfId="233"/>
    <cellStyle name="20% - 강조색3 41" xfId="234"/>
    <cellStyle name="20% - 강조색3 42" xfId="235"/>
    <cellStyle name="20% - 강조색3 43" xfId="236"/>
    <cellStyle name="20% - 강조색3 44" xfId="237"/>
    <cellStyle name="20% - 강조색3 45" xfId="238"/>
    <cellStyle name="20% - 강조색3 46" xfId="239"/>
    <cellStyle name="20% - 강조색3 47" xfId="240"/>
    <cellStyle name="20% - 강조색3 48" xfId="241"/>
    <cellStyle name="20% - 강조색3 49" xfId="242"/>
    <cellStyle name="20% - 강조색3 5" xfId="243"/>
    <cellStyle name="20% - 강조색3 50" xfId="244"/>
    <cellStyle name="20% - 강조색3 51" xfId="245"/>
    <cellStyle name="20% - 강조색3 6" xfId="246"/>
    <cellStyle name="20% - 강조색3 7" xfId="247"/>
    <cellStyle name="20% - 강조색3 8" xfId="248"/>
    <cellStyle name="20% - 강조색3 9" xfId="249"/>
    <cellStyle name="20% - 강조색4 10" xfId="250"/>
    <cellStyle name="20% - 강조색4 11" xfId="251"/>
    <cellStyle name="20% - 강조색4 12" xfId="252"/>
    <cellStyle name="20% - 강조색4 13" xfId="253"/>
    <cellStyle name="20% - 강조색4 14" xfId="254"/>
    <cellStyle name="20% - 강조색4 15" xfId="255"/>
    <cellStyle name="20% - 강조색4 16" xfId="256"/>
    <cellStyle name="20% - 강조색4 17" xfId="257"/>
    <cellStyle name="20% - 강조색4 18" xfId="258"/>
    <cellStyle name="20% - 강조색4 19" xfId="259"/>
    <cellStyle name="20% - 강조색4 2" xfId="260"/>
    <cellStyle name="20% - 강조색4 2 10" xfId="261"/>
    <cellStyle name="20% - 강조색4 2 11" xfId="262"/>
    <cellStyle name="20% - 강조색4 2 12" xfId="263"/>
    <cellStyle name="20% - 강조색4 2 13" xfId="264"/>
    <cellStyle name="20% - 강조색4 2 14" xfId="265"/>
    <cellStyle name="20% - 강조색4 2 15" xfId="266"/>
    <cellStyle name="20% - 강조색4 2 16" xfId="267"/>
    <cellStyle name="20% - 강조색4 2 2" xfId="268"/>
    <cellStyle name="20% - 강조색4 2 3" xfId="269"/>
    <cellStyle name="20% - 강조색4 2 4" xfId="270"/>
    <cellStyle name="20% - 강조색4 2 5" xfId="271"/>
    <cellStyle name="20% - 강조색4 2 6" xfId="272"/>
    <cellStyle name="20% - 강조색4 2 7" xfId="273"/>
    <cellStyle name="20% - 강조색4 2 8" xfId="274"/>
    <cellStyle name="20% - 강조색4 2 9" xfId="275"/>
    <cellStyle name="20% - 강조색4 20" xfId="276"/>
    <cellStyle name="20% - 강조색4 21" xfId="277"/>
    <cellStyle name="20% - 강조색4 22" xfId="278"/>
    <cellStyle name="20% - 강조색4 23" xfId="279"/>
    <cellStyle name="20% - 강조색4 24" xfId="280"/>
    <cellStyle name="20% - 강조색4 25" xfId="281"/>
    <cellStyle name="20% - 강조색4 26" xfId="282"/>
    <cellStyle name="20% - 강조색4 27" xfId="283"/>
    <cellStyle name="20% - 강조색4 28" xfId="284"/>
    <cellStyle name="20% - 강조색4 29" xfId="285"/>
    <cellStyle name="20% - 강조색4 3" xfId="286"/>
    <cellStyle name="20% - 강조색4 3 2" xfId="287"/>
    <cellStyle name="20% - 강조색4 3 3" xfId="288"/>
    <cellStyle name="20% - 강조색4 3 4" xfId="289"/>
    <cellStyle name="20% - 강조색4 3 5" xfId="290"/>
    <cellStyle name="20% - 강조색4 3 6" xfId="291"/>
    <cellStyle name="20% - 강조색4 3 7" xfId="292"/>
    <cellStyle name="20% - 강조색4 3 8" xfId="293"/>
    <cellStyle name="20% - 강조색4 3 9" xfId="294"/>
    <cellStyle name="20% - 강조색4 30" xfId="295"/>
    <cellStyle name="20% - 강조색4 31" xfId="296"/>
    <cellStyle name="20% - 강조색4 32" xfId="297"/>
    <cellStyle name="20% - 강조색4 33" xfId="298"/>
    <cellStyle name="20% - 강조색4 34" xfId="299"/>
    <cellStyle name="20% - 강조색4 35" xfId="300"/>
    <cellStyle name="20% - 강조색4 36" xfId="301"/>
    <cellStyle name="20% - 강조색4 37" xfId="302"/>
    <cellStyle name="20% - 강조색4 38" xfId="303"/>
    <cellStyle name="20% - 강조색4 39" xfId="304"/>
    <cellStyle name="20% - 강조색4 4" xfId="305"/>
    <cellStyle name="20% - 강조색4 4 2" xfId="306"/>
    <cellStyle name="20% - 강조색4 4 3" xfId="307"/>
    <cellStyle name="20% - 강조색4 4 4" xfId="308"/>
    <cellStyle name="20% - 강조색4 4 5" xfId="309"/>
    <cellStyle name="20% - 강조색4 4 6" xfId="310"/>
    <cellStyle name="20% - 강조색4 4 7" xfId="311"/>
    <cellStyle name="20% - 강조색4 4 8" xfId="312"/>
    <cellStyle name="20% - 강조색4 4 9" xfId="313"/>
    <cellStyle name="20% - 강조색4 40" xfId="314"/>
    <cellStyle name="20% - 강조색4 41" xfId="315"/>
    <cellStyle name="20% - 강조색4 42" xfId="316"/>
    <cellStyle name="20% - 강조색4 43" xfId="317"/>
    <cellStyle name="20% - 강조색4 44" xfId="318"/>
    <cellStyle name="20% - 강조색4 45" xfId="319"/>
    <cellStyle name="20% - 강조색4 46" xfId="320"/>
    <cellStyle name="20% - 강조색4 47" xfId="321"/>
    <cellStyle name="20% - 강조색4 48" xfId="322"/>
    <cellStyle name="20% - 강조색4 49" xfId="323"/>
    <cellStyle name="20% - 강조색4 5" xfId="324"/>
    <cellStyle name="20% - 강조색4 50" xfId="325"/>
    <cellStyle name="20% - 강조색4 51" xfId="326"/>
    <cellStyle name="20% - 강조색4 6" xfId="327"/>
    <cellStyle name="20% - 강조색4 7" xfId="328"/>
    <cellStyle name="20% - 강조색4 8" xfId="329"/>
    <cellStyle name="20% - 강조색4 9" xfId="330"/>
    <cellStyle name="20% - 강조색5 10" xfId="331"/>
    <cellStyle name="20% - 강조색5 11" xfId="332"/>
    <cellStyle name="20% - 강조색5 12" xfId="333"/>
    <cellStyle name="20% - 강조색5 13" xfId="334"/>
    <cellStyle name="20% - 강조색5 14" xfId="335"/>
    <cellStyle name="20% - 강조색5 15" xfId="336"/>
    <cellStyle name="20% - 강조색5 16" xfId="337"/>
    <cellStyle name="20% - 강조색5 17" xfId="338"/>
    <cellStyle name="20% - 강조색5 18" xfId="339"/>
    <cellStyle name="20% - 강조색5 19" xfId="340"/>
    <cellStyle name="20% - 강조색5 2" xfId="341"/>
    <cellStyle name="20% - 강조색5 2 10" xfId="342"/>
    <cellStyle name="20% - 강조색5 2 11" xfId="343"/>
    <cellStyle name="20% - 강조색5 2 12" xfId="344"/>
    <cellStyle name="20% - 강조색5 2 13" xfId="345"/>
    <cellStyle name="20% - 강조색5 2 14" xfId="346"/>
    <cellStyle name="20% - 강조색5 2 15" xfId="347"/>
    <cellStyle name="20% - 강조색5 2 16" xfId="348"/>
    <cellStyle name="20% - 강조색5 2 2" xfId="349"/>
    <cellStyle name="20% - 강조색5 2 3" xfId="350"/>
    <cellStyle name="20% - 강조색5 2 4" xfId="351"/>
    <cellStyle name="20% - 강조색5 2 5" xfId="352"/>
    <cellStyle name="20% - 강조색5 2 6" xfId="353"/>
    <cellStyle name="20% - 강조색5 2 7" xfId="354"/>
    <cellStyle name="20% - 강조색5 2 8" xfId="355"/>
    <cellStyle name="20% - 강조색5 2 9" xfId="356"/>
    <cellStyle name="20% - 강조색5 20" xfId="357"/>
    <cellStyle name="20% - 강조색5 21" xfId="358"/>
    <cellStyle name="20% - 강조색5 22" xfId="359"/>
    <cellStyle name="20% - 강조색5 23" xfId="360"/>
    <cellStyle name="20% - 강조색5 24" xfId="361"/>
    <cellStyle name="20% - 강조색5 25" xfId="362"/>
    <cellStyle name="20% - 강조색5 26" xfId="363"/>
    <cellStyle name="20% - 강조색5 27" xfId="364"/>
    <cellStyle name="20% - 강조색5 28" xfId="365"/>
    <cellStyle name="20% - 강조색5 29" xfId="366"/>
    <cellStyle name="20% - 강조색5 3" xfId="367"/>
    <cellStyle name="20% - 강조색5 3 2" xfId="368"/>
    <cellStyle name="20% - 강조색5 3 3" xfId="369"/>
    <cellStyle name="20% - 강조색5 3 4" xfId="370"/>
    <cellStyle name="20% - 강조색5 3 5" xfId="371"/>
    <cellStyle name="20% - 강조색5 3 6" xfId="372"/>
    <cellStyle name="20% - 강조색5 3 7" xfId="373"/>
    <cellStyle name="20% - 강조색5 3 8" xfId="374"/>
    <cellStyle name="20% - 강조색5 3 9" xfId="375"/>
    <cellStyle name="20% - 강조색5 30" xfId="376"/>
    <cellStyle name="20% - 강조색5 31" xfId="377"/>
    <cellStyle name="20% - 강조색5 32" xfId="378"/>
    <cellStyle name="20% - 강조색5 33" xfId="379"/>
    <cellStyle name="20% - 강조색5 34" xfId="380"/>
    <cellStyle name="20% - 강조색5 35" xfId="381"/>
    <cellStyle name="20% - 강조색5 36" xfId="382"/>
    <cellStyle name="20% - 강조색5 37" xfId="383"/>
    <cellStyle name="20% - 강조색5 38" xfId="384"/>
    <cellStyle name="20% - 강조색5 39" xfId="385"/>
    <cellStyle name="20% - 강조색5 4" xfId="386"/>
    <cellStyle name="20% - 강조색5 4 2" xfId="387"/>
    <cellStyle name="20% - 강조색5 4 3" xfId="388"/>
    <cellStyle name="20% - 강조색5 4 4" xfId="389"/>
    <cellStyle name="20% - 강조색5 4 5" xfId="390"/>
    <cellStyle name="20% - 강조색5 4 6" xfId="391"/>
    <cellStyle name="20% - 강조색5 4 7" xfId="392"/>
    <cellStyle name="20% - 강조색5 4 8" xfId="393"/>
    <cellStyle name="20% - 강조색5 4 9" xfId="394"/>
    <cellStyle name="20% - 강조색5 40" xfId="395"/>
    <cellStyle name="20% - 강조색5 41" xfId="396"/>
    <cellStyle name="20% - 강조색5 42" xfId="397"/>
    <cellStyle name="20% - 강조색5 43" xfId="398"/>
    <cellStyle name="20% - 강조색5 44" xfId="399"/>
    <cellStyle name="20% - 강조색5 45" xfId="400"/>
    <cellStyle name="20% - 강조색5 46" xfId="401"/>
    <cellStyle name="20% - 강조색5 47" xfId="402"/>
    <cellStyle name="20% - 강조색5 48" xfId="403"/>
    <cellStyle name="20% - 강조색5 49" xfId="404"/>
    <cellStyle name="20% - 강조색5 5" xfId="405"/>
    <cellStyle name="20% - 강조색5 50" xfId="406"/>
    <cellStyle name="20% - 강조색5 51" xfId="407"/>
    <cellStyle name="20% - 강조색5 6" xfId="408"/>
    <cellStyle name="20% - 강조색5 7" xfId="409"/>
    <cellStyle name="20% - 강조색5 8" xfId="410"/>
    <cellStyle name="20% - 강조색5 9" xfId="411"/>
    <cellStyle name="20% - 강조색6 10" xfId="412"/>
    <cellStyle name="20% - 강조색6 11" xfId="413"/>
    <cellStyle name="20% - 강조색6 12" xfId="414"/>
    <cellStyle name="20% - 강조색6 13" xfId="415"/>
    <cellStyle name="20% - 강조색6 14" xfId="416"/>
    <cellStyle name="20% - 강조색6 15" xfId="417"/>
    <cellStyle name="20% - 강조색6 16" xfId="418"/>
    <cellStyle name="20% - 강조색6 17" xfId="419"/>
    <cellStyle name="20% - 강조색6 18" xfId="420"/>
    <cellStyle name="20% - 강조색6 19" xfId="421"/>
    <cellStyle name="20% - 강조색6 2" xfId="422"/>
    <cellStyle name="20% - 강조색6 2 10" xfId="423"/>
    <cellStyle name="20% - 강조색6 2 11" xfId="424"/>
    <cellStyle name="20% - 강조색6 2 12" xfId="425"/>
    <cellStyle name="20% - 강조색6 2 13" xfId="426"/>
    <cellStyle name="20% - 강조색6 2 14" xfId="427"/>
    <cellStyle name="20% - 강조색6 2 15" xfId="428"/>
    <cellStyle name="20% - 강조색6 2 16" xfId="429"/>
    <cellStyle name="20% - 강조색6 2 2" xfId="430"/>
    <cellStyle name="20% - 강조색6 2 3" xfId="431"/>
    <cellStyle name="20% - 강조색6 2 4" xfId="432"/>
    <cellStyle name="20% - 강조색6 2 5" xfId="433"/>
    <cellStyle name="20% - 강조색6 2 6" xfId="434"/>
    <cellStyle name="20% - 강조색6 2 7" xfId="435"/>
    <cellStyle name="20% - 강조색6 2 8" xfId="436"/>
    <cellStyle name="20% - 강조색6 2 9" xfId="437"/>
    <cellStyle name="20% - 강조색6 20" xfId="438"/>
    <cellStyle name="20% - 강조색6 21" xfId="439"/>
    <cellStyle name="20% - 강조색6 22" xfId="440"/>
    <cellStyle name="20% - 강조색6 23" xfId="441"/>
    <cellStyle name="20% - 강조색6 24" xfId="442"/>
    <cellStyle name="20% - 강조색6 25" xfId="443"/>
    <cellStyle name="20% - 강조색6 26" xfId="444"/>
    <cellStyle name="20% - 강조색6 27" xfId="445"/>
    <cellStyle name="20% - 강조색6 28" xfId="446"/>
    <cellStyle name="20% - 강조색6 29" xfId="447"/>
    <cellStyle name="20% - 강조색6 3" xfId="448"/>
    <cellStyle name="20% - 강조색6 3 2" xfId="449"/>
    <cellStyle name="20% - 강조색6 3 3" xfId="450"/>
    <cellStyle name="20% - 강조색6 3 4" xfId="451"/>
    <cellStyle name="20% - 강조색6 3 5" xfId="452"/>
    <cellStyle name="20% - 강조색6 3 6" xfId="453"/>
    <cellStyle name="20% - 강조색6 3 7" xfId="454"/>
    <cellStyle name="20% - 강조색6 3 8" xfId="455"/>
    <cellStyle name="20% - 강조색6 3 9" xfId="456"/>
    <cellStyle name="20% - 강조색6 30" xfId="457"/>
    <cellStyle name="20% - 강조색6 31" xfId="458"/>
    <cellStyle name="20% - 강조색6 32" xfId="459"/>
    <cellStyle name="20% - 강조색6 33" xfId="460"/>
    <cellStyle name="20% - 강조색6 34" xfId="461"/>
    <cellStyle name="20% - 강조색6 35" xfId="462"/>
    <cellStyle name="20% - 강조색6 36" xfId="463"/>
    <cellStyle name="20% - 강조색6 37" xfId="464"/>
    <cellStyle name="20% - 강조색6 38" xfId="465"/>
    <cellStyle name="20% - 강조색6 39" xfId="466"/>
    <cellStyle name="20% - 강조색6 4" xfId="467"/>
    <cellStyle name="20% - 강조색6 4 2" xfId="468"/>
    <cellStyle name="20% - 강조색6 4 3" xfId="469"/>
    <cellStyle name="20% - 강조색6 4 4" xfId="470"/>
    <cellStyle name="20% - 강조색6 4 5" xfId="471"/>
    <cellStyle name="20% - 강조색6 4 6" xfId="472"/>
    <cellStyle name="20% - 강조색6 4 7" xfId="473"/>
    <cellStyle name="20% - 강조색6 4 8" xfId="474"/>
    <cellStyle name="20% - 강조색6 4 9" xfId="475"/>
    <cellStyle name="20% - 강조색6 40" xfId="476"/>
    <cellStyle name="20% - 강조색6 41" xfId="477"/>
    <cellStyle name="20% - 강조색6 42" xfId="478"/>
    <cellStyle name="20% - 강조색6 43" xfId="479"/>
    <cellStyle name="20% - 강조색6 44" xfId="480"/>
    <cellStyle name="20% - 강조색6 45" xfId="481"/>
    <cellStyle name="20% - 강조색6 46" xfId="482"/>
    <cellStyle name="20% - 강조색6 47" xfId="483"/>
    <cellStyle name="20% - 강조색6 48" xfId="484"/>
    <cellStyle name="20% - 강조색6 49" xfId="485"/>
    <cellStyle name="20% - 강조색6 5" xfId="486"/>
    <cellStyle name="20% - 강조색6 50" xfId="487"/>
    <cellStyle name="20% - 강조색6 51" xfId="488"/>
    <cellStyle name="20% - 강조색6 6" xfId="489"/>
    <cellStyle name="20% - 강조색6 7" xfId="490"/>
    <cellStyle name="20% - 강조색6 8" xfId="491"/>
    <cellStyle name="20% - 강조색6 9" xfId="492"/>
    <cellStyle name="40% - 강조색1 10" xfId="493"/>
    <cellStyle name="40% - 강조색1 11" xfId="494"/>
    <cellStyle name="40% - 강조색1 12" xfId="495"/>
    <cellStyle name="40% - 강조색1 13" xfId="496"/>
    <cellStyle name="40% - 강조색1 14" xfId="497"/>
    <cellStyle name="40% - 강조색1 15" xfId="498"/>
    <cellStyle name="40% - 강조색1 16" xfId="499"/>
    <cellStyle name="40% - 강조색1 17" xfId="500"/>
    <cellStyle name="40% - 강조색1 18" xfId="501"/>
    <cellStyle name="40% - 강조색1 19" xfId="502"/>
    <cellStyle name="40% - 강조색1 2" xfId="503"/>
    <cellStyle name="40% - 강조색1 2 10" xfId="504"/>
    <cellStyle name="40% - 강조색1 2 11" xfId="505"/>
    <cellStyle name="40% - 강조색1 2 12" xfId="506"/>
    <cellStyle name="40% - 강조색1 2 13" xfId="507"/>
    <cellStyle name="40% - 강조색1 2 14" xfId="508"/>
    <cellStyle name="40% - 강조색1 2 15" xfId="509"/>
    <cellStyle name="40% - 강조색1 2 16" xfId="510"/>
    <cellStyle name="40% - 강조색1 2 2" xfId="511"/>
    <cellStyle name="40% - 강조색1 2 3" xfId="512"/>
    <cellStyle name="40% - 강조색1 2 4" xfId="513"/>
    <cellStyle name="40% - 강조색1 2 5" xfId="514"/>
    <cellStyle name="40% - 강조색1 2 6" xfId="515"/>
    <cellStyle name="40% - 강조색1 2 7" xfId="516"/>
    <cellStyle name="40% - 강조색1 2 8" xfId="517"/>
    <cellStyle name="40% - 강조색1 2 9" xfId="518"/>
    <cellStyle name="40% - 강조색1 20" xfId="519"/>
    <cellStyle name="40% - 강조색1 21" xfId="520"/>
    <cellStyle name="40% - 강조색1 22" xfId="521"/>
    <cellStyle name="40% - 강조색1 23" xfId="522"/>
    <cellStyle name="40% - 강조색1 24" xfId="523"/>
    <cellStyle name="40% - 강조색1 25" xfId="524"/>
    <cellStyle name="40% - 강조색1 26" xfId="525"/>
    <cellStyle name="40% - 강조색1 27" xfId="526"/>
    <cellStyle name="40% - 강조색1 28" xfId="527"/>
    <cellStyle name="40% - 강조색1 29" xfId="528"/>
    <cellStyle name="40% - 강조색1 3" xfId="529"/>
    <cellStyle name="40% - 강조색1 3 2" xfId="530"/>
    <cellStyle name="40% - 강조색1 3 3" xfId="531"/>
    <cellStyle name="40% - 강조색1 3 4" xfId="532"/>
    <cellStyle name="40% - 강조색1 3 5" xfId="533"/>
    <cellStyle name="40% - 강조색1 3 6" xfId="534"/>
    <cellStyle name="40% - 강조색1 3 7" xfId="535"/>
    <cellStyle name="40% - 강조색1 3 8" xfId="536"/>
    <cellStyle name="40% - 강조색1 3 9" xfId="537"/>
    <cellStyle name="40% - 강조색1 30" xfId="538"/>
    <cellStyle name="40% - 강조색1 31" xfId="539"/>
    <cellStyle name="40% - 강조색1 32" xfId="540"/>
    <cellStyle name="40% - 강조색1 33" xfId="541"/>
    <cellStyle name="40% - 강조색1 34" xfId="542"/>
    <cellStyle name="40% - 강조색1 35" xfId="543"/>
    <cellStyle name="40% - 강조색1 36" xfId="544"/>
    <cellStyle name="40% - 강조색1 37" xfId="545"/>
    <cellStyle name="40% - 강조색1 38" xfId="546"/>
    <cellStyle name="40% - 강조색1 39" xfId="547"/>
    <cellStyle name="40% - 강조색1 4" xfId="548"/>
    <cellStyle name="40% - 강조색1 4 2" xfId="549"/>
    <cellStyle name="40% - 강조색1 4 3" xfId="550"/>
    <cellStyle name="40% - 강조색1 4 4" xfId="551"/>
    <cellStyle name="40% - 강조색1 4 5" xfId="552"/>
    <cellStyle name="40% - 강조색1 4 6" xfId="553"/>
    <cellStyle name="40% - 강조색1 4 7" xfId="554"/>
    <cellStyle name="40% - 강조색1 4 8" xfId="555"/>
    <cellStyle name="40% - 강조색1 4 9" xfId="556"/>
    <cellStyle name="40% - 강조색1 40" xfId="557"/>
    <cellStyle name="40% - 강조색1 41" xfId="558"/>
    <cellStyle name="40% - 강조색1 42" xfId="559"/>
    <cellStyle name="40% - 강조색1 43" xfId="560"/>
    <cellStyle name="40% - 강조색1 44" xfId="561"/>
    <cellStyle name="40% - 강조색1 45" xfId="562"/>
    <cellStyle name="40% - 강조색1 46" xfId="563"/>
    <cellStyle name="40% - 강조색1 47" xfId="564"/>
    <cellStyle name="40% - 강조색1 48" xfId="565"/>
    <cellStyle name="40% - 강조색1 49" xfId="566"/>
    <cellStyle name="40% - 강조색1 5" xfId="567"/>
    <cellStyle name="40% - 강조색1 50" xfId="568"/>
    <cellStyle name="40% - 강조색1 51" xfId="569"/>
    <cellStyle name="40% - 강조색1 6" xfId="570"/>
    <cellStyle name="40% - 강조색1 7" xfId="571"/>
    <cellStyle name="40% - 강조색1 8" xfId="572"/>
    <cellStyle name="40% - 강조색1 9" xfId="573"/>
    <cellStyle name="40% - 강조색2 10" xfId="574"/>
    <cellStyle name="40% - 강조색2 11" xfId="575"/>
    <cellStyle name="40% - 강조색2 12" xfId="576"/>
    <cellStyle name="40% - 강조색2 13" xfId="577"/>
    <cellStyle name="40% - 강조색2 14" xfId="578"/>
    <cellStyle name="40% - 강조색2 15" xfId="579"/>
    <cellStyle name="40% - 강조색2 16" xfId="580"/>
    <cellStyle name="40% - 강조색2 17" xfId="581"/>
    <cellStyle name="40% - 강조색2 18" xfId="582"/>
    <cellStyle name="40% - 강조색2 19" xfId="583"/>
    <cellStyle name="40% - 강조색2 2" xfId="584"/>
    <cellStyle name="40% - 강조색2 2 10" xfId="585"/>
    <cellStyle name="40% - 강조색2 2 11" xfId="586"/>
    <cellStyle name="40% - 강조색2 2 12" xfId="587"/>
    <cellStyle name="40% - 강조색2 2 13" xfId="588"/>
    <cellStyle name="40% - 강조색2 2 14" xfId="589"/>
    <cellStyle name="40% - 강조색2 2 15" xfId="590"/>
    <cellStyle name="40% - 강조색2 2 16" xfId="591"/>
    <cellStyle name="40% - 강조색2 2 2" xfId="592"/>
    <cellStyle name="40% - 강조색2 2 3" xfId="593"/>
    <cellStyle name="40% - 강조색2 2 4" xfId="594"/>
    <cellStyle name="40% - 강조색2 2 5" xfId="595"/>
    <cellStyle name="40% - 강조색2 2 6" xfId="596"/>
    <cellStyle name="40% - 강조색2 2 7" xfId="597"/>
    <cellStyle name="40% - 강조색2 2 8" xfId="598"/>
    <cellStyle name="40% - 강조색2 2 9" xfId="599"/>
    <cellStyle name="40% - 강조색2 20" xfId="600"/>
    <cellStyle name="40% - 강조색2 21" xfId="601"/>
    <cellStyle name="40% - 강조색2 22" xfId="602"/>
    <cellStyle name="40% - 강조색2 23" xfId="603"/>
    <cellStyle name="40% - 강조색2 24" xfId="604"/>
    <cellStyle name="40% - 강조색2 25" xfId="605"/>
    <cellStyle name="40% - 강조색2 26" xfId="606"/>
    <cellStyle name="40% - 강조색2 27" xfId="607"/>
    <cellStyle name="40% - 강조색2 28" xfId="608"/>
    <cellStyle name="40% - 강조색2 29" xfId="609"/>
    <cellStyle name="40% - 강조색2 3" xfId="610"/>
    <cellStyle name="40% - 강조색2 3 2" xfId="611"/>
    <cellStyle name="40% - 강조색2 3 3" xfId="612"/>
    <cellStyle name="40% - 강조색2 3 4" xfId="613"/>
    <cellStyle name="40% - 강조색2 3 5" xfId="614"/>
    <cellStyle name="40% - 강조색2 3 6" xfId="615"/>
    <cellStyle name="40% - 강조색2 3 7" xfId="616"/>
    <cellStyle name="40% - 강조색2 3 8" xfId="617"/>
    <cellStyle name="40% - 강조색2 3 9" xfId="618"/>
    <cellStyle name="40% - 강조색2 30" xfId="619"/>
    <cellStyle name="40% - 강조색2 31" xfId="620"/>
    <cellStyle name="40% - 강조색2 32" xfId="621"/>
    <cellStyle name="40% - 강조색2 33" xfId="622"/>
    <cellStyle name="40% - 강조색2 34" xfId="623"/>
    <cellStyle name="40% - 강조색2 35" xfId="624"/>
    <cellStyle name="40% - 강조색2 36" xfId="625"/>
    <cellStyle name="40% - 강조색2 37" xfId="626"/>
    <cellStyle name="40% - 강조색2 38" xfId="627"/>
    <cellStyle name="40% - 강조색2 39" xfId="628"/>
    <cellStyle name="40% - 강조색2 4" xfId="629"/>
    <cellStyle name="40% - 강조색2 4 2" xfId="630"/>
    <cellStyle name="40% - 강조색2 4 3" xfId="631"/>
    <cellStyle name="40% - 강조색2 4 4" xfId="632"/>
    <cellStyle name="40% - 강조색2 4 5" xfId="633"/>
    <cellStyle name="40% - 강조색2 4 6" xfId="634"/>
    <cellStyle name="40% - 강조색2 4 7" xfId="635"/>
    <cellStyle name="40% - 강조색2 4 8" xfId="636"/>
    <cellStyle name="40% - 강조색2 4 9" xfId="637"/>
    <cellStyle name="40% - 강조색2 40" xfId="638"/>
    <cellStyle name="40% - 강조색2 41" xfId="639"/>
    <cellStyle name="40% - 강조색2 42" xfId="640"/>
    <cellStyle name="40% - 강조색2 43" xfId="641"/>
    <cellStyle name="40% - 강조색2 44" xfId="642"/>
    <cellStyle name="40% - 강조색2 45" xfId="643"/>
    <cellStyle name="40% - 강조색2 46" xfId="644"/>
    <cellStyle name="40% - 강조색2 47" xfId="645"/>
    <cellStyle name="40% - 강조색2 48" xfId="646"/>
    <cellStyle name="40% - 강조색2 49" xfId="647"/>
    <cellStyle name="40% - 강조색2 5" xfId="648"/>
    <cellStyle name="40% - 강조색2 50" xfId="649"/>
    <cellStyle name="40% - 강조색2 51" xfId="650"/>
    <cellStyle name="40% - 강조색2 6" xfId="651"/>
    <cellStyle name="40% - 강조색2 7" xfId="652"/>
    <cellStyle name="40% - 강조색2 8" xfId="653"/>
    <cellStyle name="40% - 강조색2 9" xfId="654"/>
    <cellStyle name="40% - 강조색3 10" xfId="655"/>
    <cellStyle name="40% - 강조색3 11" xfId="656"/>
    <cellStyle name="40% - 강조색3 12" xfId="657"/>
    <cellStyle name="40% - 강조색3 13" xfId="658"/>
    <cellStyle name="40% - 강조색3 14" xfId="659"/>
    <cellStyle name="40% - 강조색3 15" xfId="660"/>
    <cellStyle name="40% - 강조색3 16" xfId="661"/>
    <cellStyle name="40% - 강조색3 17" xfId="662"/>
    <cellStyle name="40% - 강조색3 18" xfId="663"/>
    <cellStyle name="40% - 강조색3 19" xfId="664"/>
    <cellStyle name="40% - 강조색3 2" xfId="665"/>
    <cellStyle name="40% - 강조색3 2 10" xfId="666"/>
    <cellStyle name="40% - 강조색3 2 11" xfId="667"/>
    <cellStyle name="40% - 강조색3 2 12" xfId="668"/>
    <cellStyle name="40% - 강조색3 2 13" xfId="669"/>
    <cellStyle name="40% - 강조색3 2 14" xfId="670"/>
    <cellStyle name="40% - 강조색3 2 15" xfId="671"/>
    <cellStyle name="40% - 강조색3 2 16" xfId="672"/>
    <cellStyle name="40% - 강조색3 2 2" xfId="673"/>
    <cellStyle name="40% - 강조색3 2 3" xfId="674"/>
    <cellStyle name="40% - 강조색3 2 4" xfId="675"/>
    <cellStyle name="40% - 강조색3 2 5" xfId="676"/>
    <cellStyle name="40% - 강조색3 2 6" xfId="677"/>
    <cellStyle name="40% - 강조색3 2 7" xfId="678"/>
    <cellStyle name="40% - 강조색3 2 8" xfId="679"/>
    <cellStyle name="40% - 강조색3 2 9" xfId="680"/>
    <cellStyle name="40% - 강조색3 20" xfId="681"/>
    <cellStyle name="40% - 강조색3 21" xfId="682"/>
    <cellStyle name="40% - 강조색3 22" xfId="683"/>
    <cellStyle name="40% - 강조색3 23" xfId="684"/>
    <cellStyle name="40% - 강조색3 24" xfId="685"/>
    <cellStyle name="40% - 강조색3 25" xfId="686"/>
    <cellStyle name="40% - 강조색3 26" xfId="687"/>
    <cellStyle name="40% - 강조색3 27" xfId="688"/>
    <cellStyle name="40% - 강조색3 28" xfId="689"/>
    <cellStyle name="40% - 강조색3 29" xfId="690"/>
    <cellStyle name="40% - 강조색3 3" xfId="691"/>
    <cellStyle name="40% - 강조색3 3 2" xfId="692"/>
    <cellStyle name="40% - 강조색3 3 3" xfId="693"/>
    <cellStyle name="40% - 강조색3 3 4" xfId="694"/>
    <cellStyle name="40% - 강조색3 3 5" xfId="695"/>
    <cellStyle name="40% - 강조색3 3 6" xfId="696"/>
    <cellStyle name="40% - 강조색3 3 7" xfId="697"/>
    <cellStyle name="40% - 강조색3 3 8" xfId="698"/>
    <cellStyle name="40% - 강조색3 3 9" xfId="699"/>
    <cellStyle name="40% - 강조색3 30" xfId="700"/>
    <cellStyle name="40% - 강조색3 31" xfId="701"/>
    <cellStyle name="40% - 강조색3 32" xfId="702"/>
    <cellStyle name="40% - 강조색3 33" xfId="703"/>
    <cellStyle name="40% - 강조색3 34" xfId="704"/>
    <cellStyle name="40% - 강조색3 35" xfId="705"/>
    <cellStyle name="40% - 강조색3 36" xfId="706"/>
    <cellStyle name="40% - 강조색3 37" xfId="707"/>
    <cellStyle name="40% - 강조색3 38" xfId="708"/>
    <cellStyle name="40% - 강조색3 39" xfId="709"/>
    <cellStyle name="40% - 강조색3 4" xfId="710"/>
    <cellStyle name="40% - 강조색3 4 2" xfId="711"/>
    <cellStyle name="40% - 강조색3 4 3" xfId="712"/>
    <cellStyle name="40% - 강조색3 4 4" xfId="713"/>
    <cellStyle name="40% - 강조색3 4 5" xfId="714"/>
    <cellStyle name="40% - 강조색3 4 6" xfId="715"/>
    <cellStyle name="40% - 강조색3 4 7" xfId="716"/>
    <cellStyle name="40% - 강조색3 4 8" xfId="717"/>
    <cellStyle name="40% - 강조색3 4 9" xfId="718"/>
    <cellStyle name="40% - 강조색3 40" xfId="719"/>
    <cellStyle name="40% - 강조색3 41" xfId="720"/>
    <cellStyle name="40% - 강조색3 42" xfId="721"/>
    <cellStyle name="40% - 강조색3 43" xfId="722"/>
    <cellStyle name="40% - 강조색3 44" xfId="723"/>
    <cellStyle name="40% - 강조색3 45" xfId="724"/>
    <cellStyle name="40% - 강조색3 46" xfId="725"/>
    <cellStyle name="40% - 강조색3 47" xfId="726"/>
    <cellStyle name="40% - 강조색3 48" xfId="727"/>
    <cellStyle name="40% - 강조색3 49" xfId="728"/>
    <cellStyle name="40% - 강조색3 5" xfId="729"/>
    <cellStyle name="40% - 강조색3 50" xfId="730"/>
    <cellStyle name="40% - 강조색3 51" xfId="731"/>
    <cellStyle name="40% - 강조색3 6" xfId="732"/>
    <cellStyle name="40% - 강조색3 7" xfId="733"/>
    <cellStyle name="40% - 강조색3 8" xfId="734"/>
    <cellStyle name="40% - 강조색3 9" xfId="735"/>
    <cellStyle name="40% - 강조색4 10" xfId="736"/>
    <cellStyle name="40% - 강조색4 11" xfId="737"/>
    <cellStyle name="40% - 강조색4 12" xfId="738"/>
    <cellStyle name="40% - 강조색4 13" xfId="739"/>
    <cellStyle name="40% - 강조색4 14" xfId="740"/>
    <cellStyle name="40% - 강조색4 15" xfId="741"/>
    <cellStyle name="40% - 강조색4 16" xfId="742"/>
    <cellStyle name="40% - 강조색4 17" xfId="743"/>
    <cellStyle name="40% - 강조색4 18" xfId="744"/>
    <cellStyle name="40% - 강조색4 19" xfId="745"/>
    <cellStyle name="40% - 강조색4 2" xfId="746"/>
    <cellStyle name="40% - 강조색4 2 10" xfId="747"/>
    <cellStyle name="40% - 강조색4 2 11" xfId="748"/>
    <cellStyle name="40% - 강조색4 2 12" xfId="749"/>
    <cellStyle name="40% - 강조색4 2 13" xfId="750"/>
    <cellStyle name="40% - 강조색4 2 14" xfId="751"/>
    <cellStyle name="40% - 강조색4 2 15" xfId="752"/>
    <cellStyle name="40% - 강조색4 2 16" xfId="753"/>
    <cellStyle name="40% - 강조색4 2 2" xfId="754"/>
    <cellStyle name="40% - 강조색4 2 3" xfId="755"/>
    <cellStyle name="40% - 강조색4 2 4" xfId="756"/>
    <cellStyle name="40% - 강조색4 2 5" xfId="757"/>
    <cellStyle name="40% - 강조색4 2 6" xfId="758"/>
    <cellStyle name="40% - 강조색4 2 7" xfId="759"/>
    <cellStyle name="40% - 강조색4 2 8" xfId="760"/>
    <cellStyle name="40% - 강조색4 2 9" xfId="761"/>
    <cellStyle name="40% - 강조색4 20" xfId="762"/>
    <cellStyle name="40% - 강조색4 21" xfId="763"/>
    <cellStyle name="40% - 강조색4 22" xfId="764"/>
    <cellStyle name="40% - 강조색4 23" xfId="765"/>
    <cellStyle name="40% - 강조색4 24" xfId="766"/>
    <cellStyle name="40% - 강조색4 25" xfId="767"/>
    <cellStyle name="40% - 강조색4 26" xfId="768"/>
    <cellStyle name="40% - 강조색4 27" xfId="769"/>
    <cellStyle name="40% - 강조색4 28" xfId="770"/>
    <cellStyle name="40% - 강조색4 29" xfId="771"/>
    <cellStyle name="40% - 강조색4 3" xfId="772"/>
    <cellStyle name="40% - 강조색4 3 2" xfId="773"/>
    <cellStyle name="40% - 강조색4 3 3" xfId="774"/>
    <cellStyle name="40% - 강조색4 3 4" xfId="775"/>
    <cellStyle name="40% - 강조색4 3 5" xfId="776"/>
    <cellStyle name="40% - 강조색4 3 6" xfId="777"/>
    <cellStyle name="40% - 강조색4 3 7" xfId="778"/>
    <cellStyle name="40% - 강조색4 3 8" xfId="779"/>
    <cellStyle name="40% - 강조색4 3 9" xfId="780"/>
    <cellStyle name="40% - 강조색4 30" xfId="781"/>
    <cellStyle name="40% - 강조색4 31" xfId="782"/>
    <cellStyle name="40% - 강조색4 32" xfId="783"/>
    <cellStyle name="40% - 강조색4 33" xfId="784"/>
    <cellStyle name="40% - 강조색4 34" xfId="785"/>
    <cellStyle name="40% - 강조색4 35" xfId="786"/>
    <cellStyle name="40% - 강조색4 36" xfId="787"/>
    <cellStyle name="40% - 강조색4 37" xfId="788"/>
    <cellStyle name="40% - 강조색4 38" xfId="789"/>
    <cellStyle name="40% - 강조색4 39" xfId="790"/>
    <cellStyle name="40% - 강조색4 4" xfId="791"/>
    <cellStyle name="40% - 강조색4 4 2" xfId="792"/>
    <cellStyle name="40% - 강조색4 4 3" xfId="793"/>
    <cellStyle name="40% - 강조색4 4 4" xfId="794"/>
    <cellStyle name="40% - 강조색4 4 5" xfId="795"/>
    <cellStyle name="40% - 강조색4 4 6" xfId="796"/>
    <cellStyle name="40% - 강조색4 4 7" xfId="797"/>
    <cellStyle name="40% - 강조색4 4 8" xfId="798"/>
    <cellStyle name="40% - 강조색4 4 9" xfId="799"/>
    <cellStyle name="40% - 강조색4 40" xfId="800"/>
    <cellStyle name="40% - 강조색4 41" xfId="801"/>
    <cellStyle name="40% - 강조색4 42" xfId="802"/>
    <cellStyle name="40% - 강조색4 43" xfId="803"/>
    <cellStyle name="40% - 강조색4 44" xfId="804"/>
    <cellStyle name="40% - 강조색4 45" xfId="805"/>
    <cellStyle name="40% - 강조색4 46" xfId="806"/>
    <cellStyle name="40% - 강조색4 47" xfId="807"/>
    <cellStyle name="40% - 강조색4 48" xfId="808"/>
    <cellStyle name="40% - 강조색4 49" xfId="809"/>
    <cellStyle name="40% - 강조색4 5" xfId="810"/>
    <cellStyle name="40% - 강조색4 50" xfId="811"/>
    <cellStyle name="40% - 강조색4 51" xfId="812"/>
    <cellStyle name="40% - 강조색4 6" xfId="813"/>
    <cellStyle name="40% - 강조색4 7" xfId="814"/>
    <cellStyle name="40% - 강조색4 8" xfId="815"/>
    <cellStyle name="40% - 강조색4 9" xfId="816"/>
    <cellStyle name="40% - 강조색5 10" xfId="817"/>
    <cellStyle name="40% - 강조색5 11" xfId="818"/>
    <cellStyle name="40% - 강조색5 12" xfId="819"/>
    <cellStyle name="40% - 강조색5 13" xfId="820"/>
    <cellStyle name="40% - 강조색5 14" xfId="821"/>
    <cellStyle name="40% - 강조색5 15" xfId="822"/>
    <cellStyle name="40% - 강조색5 16" xfId="823"/>
    <cellStyle name="40% - 강조색5 17" xfId="824"/>
    <cellStyle name="40% - 강조색5 18" xfId="825"/>
    <cellStyle name="40% - 강조색5 19" xfId="826"/>
    <cellStyle name="40% - 강조색5 2" xfId="827"/>
    <cellStyle name="40% - 강조색5 2 10" xfId="828"/>
    <cellStyle name="40% - 강조색5 2 11" xfId="829"/>
    <cellStyle name="40% - 강조색5 2 12" xfId="830"/>
    <cellStyle name="40% - 강조색5 2 13" xfId="831"/>
    <cellStyle name="40% - 강조색5 2 14" xfId="832"/>
    <cellStyle name="40% - 강조색5 2 15" xfId="833"/>
    <cellStyle name="40% - 강조색5 2 16" xfId="834"/>
    <cellStyle name="40% - 강조색5 2 2" xfId="835"/>
    <cellStyle name="40% - 강조색5 2 3" xfId="836"/>
    <cellStyle name="40% - 강조색5 2 4" xfId="837"/>
    <cellStyle name="40% - 강조색5 2 5" xfId="838"/>
    <cellStyle name="40% - 강조색5 2 6" xfId="839"/>
    <cellStyle name="40% - 강조색5 2 7" xfId="840"/>
    <cellStyle name="40% - 강조색5 2 8" xfId="841"/>
    <cellStyle name="40% - 강조색5 2 9" xfId="842"/>
    <cellStyle name="40% - 강조색5 20" xfId="843"/>
    <cellStyle name="40% - 강조색5 21" xfId="844"/>
    <cellStyle name="40% - 강조색5 22" xfId="845"/>
    <cellStyle name="40% - 강조색5 23" xfId="846"/>
    <cellStyle name="40% - 강조색5 24" xfId="847"/>
    <cellStyle name="40% - 강조색5 25" xfId="848"/>
    <cellStyle name="40% - 강조색5 26" xfId="849"/>
    <cellStyle name="40% - 강조색5 27" xfId="850"/>
    <cellStyle name="40% - 강조색5 28" xfId="851"/>
    <cellStyle name="40% - 강조색5 29" xfId="852"/>
    <cellStyle name="40% - 강조색5 3" xfId="853"/>
    <cellStyle name="40% - 강조색5 3 2" xfId="854"/>
    <cellStyle name="40% - 강조색5 3 3" xfId="855"/>
    <cellStyle name="40% - 강조색5 3 4" xfId="856"/>
    <cellStyle name="40% - 강조색5 3 5" xfId="857"/>
    <cellStyle name="40% - 강조색5 3 6" xfId="858"/>
    <cellStyle name="40% - 강조색5 3 7" xfId="859"/>
    <cellStyle name="40% - 강조색5 3 8" xfId="860"/>
    <cellStyle name="40% - 강조색5 3 9" xfId="861"/>
    <cellStyle name="40% - 강조색5 30" xfId="862"/>
    <cellStyle name="40% - 강조색5 31" xfId="863"/>
    <cellStyle name="40% - 강조색5 32" xfId="864"/>
    <cellStyle name="40% - 강조색5 33" xfId="865"/>
    <cellStyle name="40% - 강조색5 34" xfId="866"/>
    <cellStyle name="40% - 강조색5 35" xfId="867"/>
    <cellStyle name="40% - 강조색5 36" xfId="868"/>
    <cellStyle name="40% - 강조색5 37" xfId="869"/>
    <cellStyle name="40% - 강조색5 38" xfId="870"/>
    <cellStyle name="40% - 강조색5 39" xfId="871"/>
    <cellStyle name="40% - 강조색5 4" xfId="872"/>
    <cellStyle name="40% - 강조색5 4 2" xfId="873"/>
    <cellStyle name="40% - 강조색5 4 3" xfId="874"/>
    <cellStyle name="40% - 강조색5 4 4" xfId="875"/>
    <cellStyle name="40% - 강조색5 4 5" xfId="876"/>
    <cellStyle name="40% - 강조색5 4 6" xfId="877"/>
    <cellStyle name="40% - 강조색5 4 7" xfId="878"/>
    <cellStyle name="40% - 강조색5 4 8" xfId="879"/>
    <cellStyle name="40% - 강조색5 4 9" xfId="880"/>
    <cellStyle name="40% - 강조색5 40" xfId="881"/>
    <cellStyle name="40% - 강조색5 41" xfId="882"/>
    <cellStyle name="40% - 강조색5 42" xfId="883"/>
    <cellStyle name="40% - 강조색5 43" xfId="884"/>
    <cellStyle name="40% - 강조색5 44" xfId="885"/>
    <cellStyle name="40% - 강조색5 45" xfId="886"/>
    <cellStyle name="40% - 강조색5 46" xfId="887"/>
    <cellStyle name="40% - 강조색5 47" xfId="888"/>
    <cellStyle name="40% - 강조색5 48" xfId="889"/>
    <cellStyle name="40% - 강조색5 49" xfId="890"/>
    <cellStyle name="40% - 강조색5 5" xfId="891"/>
    <cellStyle name="40% - 강조색5 50" xfId="892"/>
    <cellStyle name="40% - 강조색5 51" xfId="893"/>
    <cellStyle name="40% - 강조색5 6" xfId="894"/>
    <cellStyle name="40% - 강조색5 7" xfId="895"/>
    <cellStyle name="40% - 강조색5 8" xfId="896"/>
    <cellStyle name="40% - 강조색5 9" xfId="897"/>
    <cellStyle name="40% - 강조색6 10" xfId="898"/>
    <cellStyle name="40% - 강조색6 11" xfId="899"/>
    <cellStyle name="40% - 강조색6 12" xfId="900"/>
    <cellStyle name="40% - 강조색6 13" xfId="901"/>
    <cellStyle name="40% - 강조색6 14" xfId="902"/>
    <cellStyle name="40% - 강조색6 15" xfId="903"/>
    <cellStyle name="40% - 강조색6 16" xfId="904"/>
    <cellStyle name="40% - 강조색6 17" xfId="905"/>
    <cellStyle name="40% - 강조색6 18" xfId="906"/>
    <cellStyle name="40% - 강조색6 19" xfId="907"/>
    <cellStyle name="40% - 강조색6 2" xfId="908"/>
    <cellStyle name="40% - 강조색6 2 10" xfId="909"/>
    <cellStyle name="40% - 강조색6 2 11" xfId="910"/>
    <cellStyle name="40% - 강조색6 2 12" xfId="911"/>
    <cellStyle name="40% - 강조색6 2 13" xfId="912"/>
    <cellStyle name="40% - 강조색6 2 14" xfId="913"/>
    <cellStyle name="40% - 강조색6 2 15" xfId="914"/>
    <cellStyle name="40% - 강조색6 2 16" xfId="915"/>
    <cellStyle name="40% - 강조색6 2 2" xfId="916"/>
    <cellStyle name="40% - 강조색6 2 3" xfId="917"/>
    <cellStyle name="40% - 강조색6 2 4" xfId="918"/>
    <cellStyle name="40% - 강조색6 2 5" xfId="919"/>
    <cellStyle name="40% - 강조색6 2 6" xfId="920"/>
    <cellStyle name="40% - 강조색6 2 7" xfId="921"/>
    <cellStyle name="40% - 강조색6 2 8" xfId="922"/>
    <cellStyle name="40% - 강조색6 2 9" xfId="923"/>
    <cellStyle name="40% - 강조색6 20" xfId="924"/>
    <cellStyle name="40% - 강조색6 21" xfId="925"/>
    <cellStyle name="40% - 강조색6 22" xfId="926"/>
    <cellStyle name="40% - 강조색6 23" xfId="927"/>
    <cellStyle name="40% - 강조색6 24" xfId="928"/>
    <cellStyle name="40% - 강조색6 25" xfId="929"/>
    <cellStyle name="40% - 강조색6 26" xfId="930"/>
    <cellStyle name="40% - 강조색6 27" xfId="931"/>
    <cellStyle name="40% - 강조색6 28" xfId="932"/>
    <cellStyle name="40% - 강조색6 29" xfId="933"/>
    <cellStyle name="40% - 강조색6 3" xfId="934"/>
    <cellStyle name="40% - 강조색6 3 2" xfId="935"/>
    <cellStyle name="40% - 강조색6 3 3" xfId="936"/>
    <cellStyle name="40% - 강조색6 3 4" xfId="937"/>
    <cellStyle name="40% - 강조색6 3 5" xfId="938"/>
    <cellStyle name="40% - 강조색6 3 6" xfId="939"/>
    <cellStyle name="40% - 강조색6 3 7" xfId="940"/>
    <cellStyle name="40% - 강조색6 3 8" xfId="941"/>
    <cellStyle name="40% - 강조색6 3 9" xfId="942"/>
    <cellStyle name="40% - 강조색6 30" xfId="943"/>
    <cellStyle name="40% - 강조색6 31" xfId="944"/>
    <cellStyle name="40% - 강조색6 32" xfId="945"/>
    <cellStyle name="40% - 강조색6 33" xfId="946"/>
    <cellStyle name="40% - 강조색6 34" xfId="947"/>
    <cellStyle name="40% - 강조색6 35" xfId="948"/>
    <cellStyle name="40% - 강조색6 36" xfId="949"/>
    <cellStyle name="40% - 강조색6 37" xfId="950"/>
    <cellStyle name="40% - 강조색6 38" xfId="951"/>
    <cellStyle name="40% - 강조색6 39" xfId="952"/>
    <cellStyle name="40% - 강조색6 4" xfId="953"/>
    <cellStyle name="40% - 강조색6 4 2" xfId="954"/>
    <cellStyle name="40% - 강조색6 4 3" xfId="955"/>
    <cellStyle name="40% - 강조색6 4 4" xfId="956"/>
    <cellStyle name="40% - 강조색6 4 5" xfId="957"/>
    <cellStyle name="40% - 강조색6 4 6" xfId="958"/>
    <cellStyle name="40% - 강조색6 4 7" xfId="959"/>
    <cellStyle name="40% - 강조색6 4 8" xfId="960"/>
    <cellStyle name="40% - 강조색6 4 9" xfId="961"/>
    <cellStyle name="40% - 강조색6 40" xfId="962"/>
    <cellStyle name="40% - 강조색6 41" xfId="963"/>
    <cellStyle name="40% - 강조색6 42" xfId="964"/>
    <cellStyle name="40% - 강조색6 43" xfId="965"/>
    <cellStyle name="40% - 강조색6 44" xfId="966"/>
    <cellStyle name="40% - 강조색6 45" xfId="967"/>
    <cellStyle name="40% - 강조색6 46" xfId="968"/>
    <cellStyle name="40% - 강조색6 47" xfId="969"/>
    <cellStyle name="40% - 강조색6 48" xfId="970"/>
    <cellStyle name="40% - 강조색6 49" xfId="971"/>
    <cellStyle name="40% - 강조색6 5" xfId="972"/>
    <cellStyle name="40% - 강조색6 50" xfId="973"/>
    <cellStyle name="40% - 강조색6 51" xfId="974"/>
    <cellStyle name="40% - 강조색6 6" xfId="975"/>
    <cellStyle name="40% - 강조색6 7" xfId="976"/>
    <cellStyle name="40% - 강조색6 8" xfId="977"/>
    <cellStyle name="40% - 강조색6 9" xfId="978"/>
    <cellStyle name="60% - 강조색1 10" xfId="979"/>
    <cellStyle name="60% - 강조색1 11" xfId="980"/>
    <cellStyle name="60% - 강조색1 12" xfId="981"/>
    <cellStyle name="60% - 강조색1 13" xfId="982"/>
    <cellStyle name="60% - 강조색1 14" xfId="983"/>
    <cellStyle name="60% - 강조색1 15" xfId="984"/>
    <cellStyle name="60% - 강조색1 16" xfId="985"/>
    <cellStyle name="60% - 강조색1 2" xfId="986"/>
    <cellStyle name="60% - 강조색1 2 2" xfId="987"/>
    <cellStyle name="60% - 강조색1 2 3" xfId="988"/>
    <cellStyle name="60% - 강조색1 2 4" xfId="989"/>
    <cellStyle name="60% - 강조색1 2 5" xfId="990"/>
    <cellStyle name="60% - 강조색1 2 6" xfId="991"/>
    <cellStyle name="60% - 강조색1 2 7" xfId="992"/>
    <cellStyle name="60% - 강조색1 2 8" xfId="993"/>
    <cellStyle name="60% - 강조색1 2 9" xfId="994"/>
    <cellStyle name="60% - 강조색1 3" xfId="995"/>
    <cellStyle name="60% - 강조색1 4" xfId="996"/>
    <cellStyle name="60% - 강조색1 5" xfId="997"/>
    <cellStyle name="60% - 강조색1 6" xfId="998"/>
    <cellStyle name="60% - 강조색1 7" xfId="999"/>
    <cellStyle name="60% - 강조색1 8" xfId="1000"/>
    <cellStyle name="60% - 강조색1 9" xfId="1001"/>
    <cellStyle name="60% - 강조색2 10" xfId="1002"/>
    <cellStyle name="60% - 강조색2 11" xfId="1003"/>
    <cellStyle name="60% - 강조색2 12" xfId="1004"/>
    <cellStyle name="60% - 강조색2 13" xfId="1005"/>
    <cellStyle name="60% - 강조색2 14" xfId="1006"/>
    <cellStyle name="60% - 강조색2 15" xfId="1007"/>
    <cellStyle name="60% - 강조색2 16" xfId="1008"/>
    <cellStyle name="60% - 강조색2 2" xfId="1009"/>
    <cellStyle name="60% - 강조색2 2 2" xfId="1010"/>
    <cellStyle name="60% - 강조색2 2 3" xfId="1011"/>
    <cellStyle name="60% - 강조색2 2 4" xfId="1012"/>
    <cellStyle name="60% - 강조색2 2 5" xfId="1013"/>
    <cellStyle name="60% - 강조색2 2 6" xfId="1014"/>
    <cellStyle name="60% - 강조색2 2 7" xfId="1015"/>
    <cellStyle name="60% - 강조색2 2 8" xfId="1016"/>
    <cellStyle name="60% - 강조색2 2 9" xfId="1017"/>
    <cellStyle name="60% - 강조색2 3" xfId="1018"/>
    <cellStyle name="60% - 강조색2 4" xfId="1019"/>
    <cellStyle name="60% - 강조색2 5" xfId="1020"/>
    <cellStyle name="60% - 강조색2 6" xfId="1021"/>
    <cellStyle name="60% - 강조색2 7" xfId="1022"/>
    <cellStyle name="60% - 강조색2 8" xfId="1023"/>
    <cellStyle name="60% - 강조색2 9" xfId="1024"/>
    <cellStyle name="60% - 강조색3 10" xfId="1025"/>
    <cellStyle name="60% - 강조색3 11" xfId="1026"/>
    <cellStyle name="60% - 강조색3 12" xfId="1027"/>
    <cellStyle name="60% - 강조색3 13" xfId="1028"/>
    <cellStyle name="60% - 강조색3 14" xfId="1029"/>
    <cellStyle name="60% - 강조색3 15" xfId="1030"/>
    <cellStyle name="60% - 강조색3 16" xfId="1031"/>
    <cellStyle name="60% - 강조색3 2" xfId="1032"/>
    <cellStyle name="60% - 강조색3 2 2" xfId="1033"/>
    <cellStyle name="60% - 강조색3 2 3" xfId="1034"/>
    <cellStyle name="60% - 강조색3 2 4" xfId="1035"/>
    <cellStyle name="60% - 강조색3 2 5" xfId="1036"/>
    <cellStyle name="60% - 강조색3 2 6" xfId="1037"/>
    <cellStyle name="60% - 강조색3 2 7" xfId="1038"/>
    <cellStyle name="60% - 강조색3 2 8" xfId="1039"/>
    <cellStyle name="60% - 강조색3 2 9" xfId="1040"/>
    <cellStyle name="60% - 강조색3 3" xfId="1041"/>
    <cellStyle name="60% - 강조색3 4" xfId="1042"/>
    <cellStyle name="60% - 강조색3 5" xfId="1043"/>
    <cellStyle name="60% - 강조색3 6" xfId="1044"/>
    <cellStyle name="60% - 강조색3 7" xfId="1045"/>
    <cellStyle name="60% - 강조색3 8" xfId="1046"/>
    <cellStyle name="60% - 강조색3 9" xfId="1047"/>
    <cellStyle name="60% - 강조색4 10" xfId="1048"/>
    <cellStyle name="60% - 강조색4 11" xfId="1049"/>
    <cellStyle name="60% - 강조색4 12" xfId="1050"/>
    <cellStyle name="60% - 강조색4 13" xfId="1051"/>
    <cellStyle name="60% - 강조색4 14" xfId="1052"/>
    <cellStyle name="60% - 강조색4 15" xfId="1053"/>
    <cellStyle name="60% - 강조색4 16" xfId="1054"/>
    <cellStyle name="60% - 강조색4 2" xfId="1055"/>
    <cellStyle name="60% - 강조색4 2 2" xfId="1056"/>
    <cellStyle name="60% - 강조색4 2 3" xfId="1057"/>
    <cellStyle name="60% - 강조색4 2 4" xfId="1058"/>
    <cellStyle name="60% - 강조색4 2 5" xfId="1059"/>
    <cellStyle name="60% - 강조색4 2 6" xfId="1060"/>
    <cellStyle name="60% - 강조색4 2 7" xfId="1061"/>
    <cellStyle name="60% - 강조색4 2 8" xfId="1062"/>
    <cellStyle name="60% - 강조색4 2 9" xfId="1063"/>
    <cellStyle name="60% - 강조색4 3" xfId="1064"/>
    <cellStyle name="60% - 강조색4 4" xfId="1065"/>
    <cellStyle name="60% - 강조색4 5" xfId="1066"/>
    <cellStyle name="60% - 강조색4 6" xfId="1067"/>
    <cellStyle name="60% - 강조색4 7" xfId="1068"/>
    <cellStyle name="60% - 강조색4 8" xfId="1069"/>
    <cellStyle name="60% - 강조색4 9" xfId="1070"/>
    <cellStyle name="60% - 강조색5 10" xfId="1071"/>
    <cellStyle name="60% - 강조색5 11" xfId="1072"/>
    <cellStyle name="60% - 강조색5 12" xfId="1073"/>
    <cellStyle name="60% - 강조색5 13" xfId="1074"/>
    <cellStyle name="60% - 강조색5 14" xfId="1075"/>
    <cellStyle name="60% - 강조색5 15" xfId="1076"/>
    <cellStyle name="60% - 강조색5 16" xfId="1077"/>
    <cellStyle name="60% - 강조색5 2" xfId="1078"/>
    <cellStyle name="60% - 강조색5 2 2" xfId="1079"/>
    <cellStyle name="60% - 강조색5 2 3" xfId="1080"/>
    <cellStyle name="60% - 강조색5 2 4" xfId="1081"/>
    <cellStyle name="60% - 강조색5 2 5" xfId="1082"/>
    <cellStyle name="60% - 강조색5 2 6" xfId="1083"/>
    <cellStyle name="60% - 강조색5 2 7" xfId="1084"/>
    <cellStyle name="60% - 강조색5 2 8" xfId="1085"/>
    <cellStyle name="60% - 강조색5 2 9" xfId="1086"/>
    <cellStyle name="60% - 강조색5 3" xfId="1087"/>
    <cellStyle name="60% - 강조색5 4" xfId="1088"/>
    <cellStyle name="60% - 강조색5 5" xfId="1089"/>
    <cellStyle name="60% - 강조색5 6" xfId="1090"/>
    <cellStyle name="60% - 강조색5 7" xfId="1091"/>
    <cellStyle name="60% - 강조색5 8" xfId="1092"/>
    <cellStyle name="60% - 강조색5 9" xfId="1093"/>
    <cellStyle name="60% - 강조색6 10" xfId="1094"/>
    <cellStyle name="60% - 강조색6 11" xfId="1095"/>
    <cellStyle name="60% - 강조색6 12" xfId="1096"/>
    <cellStyle name="60% - 강조색6 13" xfId="1097"/>
    <cellStyle name="60% - 강조색6 14" xfId="1098"/>
    <cellStyle name="60% - 강조색6 15" xfId="1099"/>
    <cellStyle name="60% - 강조색6 16" xfId="1100"/>
    <cellStyle name="60% - 강조색6 2" xfId="1101"/>
    <cellStyle name="60% - 강조색6 2 2" xfId="1102"/>
    <cellStyle name="60% - 강조색6 2 3" xfId="1103"/>
    <cellStyle name="60% - 강조색6 2 4" xfId="1104"/>
    <cellStyle name="60% - 강조색6 2 5" xfId="1105"/>
    <cellStyle name="60% - 강조색6 2 6" xfId="1106"/>
    <cellStyle name="60% - 강조색6 2 7" xfId="1107"/>
    <cellStyle name="60% - 강조색6 2 8" xfId="1108"/>
    <cellStyle name="60% - 강조색6 2 9" xfId="1109"/>
    <cellStyle name="60% - 강조색6 3" xfId="1110"/>
    <cellStyle name="60% - 강조색6 4" xfId="1111"/>
    <cellStyle name="60% - 강조색6 5" xfId="1112"/>
    <cellStyle name="60% - 강조색6 6" xfId="1113"/>
    <cellStyle name="60% - 강조색6 7" xfId="1114"/>
    <cellStyle name="60% - 강조색6 8" xfId="1115"/>
    <cellStyle name="60% - 강조색6 9" xfId="1116"/>
    <cellStyle name="강조색1 10" xfId="1117"/>
    <cellStyle name="강조색1 11" xfId="1118"/>
    <cellStyle name="강조색1 12" xfId="1119"/>
    <cellStyle name="강조색1 13" xfId="1120"/>
    <cellStyle name="강조색1 14" xfId="1121"/>
    <cellStyle name="강조색1 15" xfId="1122"/>
    <cellStyle name="강조색1 16" xfId="1123"/>
    <cellStyle name="강조색1 2" xfId="1124"/>
    <cellStyle name="강조색1 2 2" xfId="1125"/>
    <cellStyle name="강조색1 2 3" xfId="1126"/>
    <cellStyle name="강조색1 2 4" xfId="1127"/>
    <cellStyle name="강조색1 2 5" xfId="1128"/>
    <cellStyle name="강조색1 2 6" xfId="1129"/>
    <cellStyle name="강조색1 2 7" xfId="1130"/>
    <cellStyle name="강조색1 2 8" xfId="1131"/>
    <cellStyle name="강조색1 2 9" xfId="1132"/>
    <cellStyle name="강조색1 3" xfId="1133"/>
    <cellStyle name="강조색1 4" xfId="1134"/>
    <cellStyle name="강조색1 5" xfId="1135"/>
    <cellStyle name="강조색1 6" xfId="1136"/>
    <cellStyle name="강조색1 7" xfId="1137"/>
    <cellStyle name="강조색1 8" xfId="1138"/>
    <cellStyle name="강조색1 9" xfId="1139"/>
    <cellStyle name="강조색2 10" xfId="1140"/>
    <cellStyle name="강조색2 11" xfId="1141"/>
    <cellStyle name="강조색2 12" xfId="1142"/>
    <cellStyle name="강조색2 13" xfId="1143"/>
    <cellStyle name="강조색2 14" xfId="1144"/>
    <cellStyle name="강조색2 15" xfId="1145"/>
    <cellStyle name="강조색2 16" xfId="1146"/>
    <cellStyle name="강조색2 2" xfId="1147"/>
    <cellStyle name="강조색2 2 2" xfId="1148"/>
    <cellStyle name="강조색2 2 3" xfId="1149"/>
    <cellStyle name="강조색2 2 4" xfId="1150"/>
    <cellStyle name="강조색2 2 5" xfId="1151"/>
    <cellStyle name="강조색2 2 6" xfId="1152"/>
    <cellStyle name="강조색2 2 7" xfId="1153"/>
    <cellStyle name="강조색2 2 8" xfId="1154"/>
    <cellStyle name="강조색2 2 9" xfId="1155"/>
    <cellStyle name="강조색2 3" xfId="1156"/>
    <cellStyle name="강조색2 4" xfId="1157"/>
    <cellStyle name="강조색2 5" xfId="1158"/>
    <cellStyle name="강조색2 6" xfId="1159"/>
    <cellStyle name="강조색2 7" xfId="1160"/>
    <cellStyle name="강조색2 8" xfId="1161"/>
    <cellStyle name="강조색2 9" xfId="1162"/>
    <cellStyle name="강조색3 10" xfId="1163"/>
    <cellStyle name="강조색3 11" xfId="1164"/>
    <cellStyle name="강조색3 12" xfId="1165"/>
    <cellStyle name="강조색3 13" xfId="1166"/>
    <cellStyle name="강조색3 14" xfId="1167"/>
    <cellStyle name="강조색3 15" xfId="1168"/>
    <cellStyle name="강조색3 16" xfId="1169"/>
    <cellStyle name="강조색3 2" xfId="1170"/>
    <cellStyle name="강조색3 2 2" xfId="1171"/>
    <cellStyle name="강조색3 2 3" xfId="1172"/>
    <cellStyle name="강조색3 2 4" xfId="1173"/>
    <cellStyle name="강조색3 2 5" xfId="1174"/>
    <cellStyle name="강조색3 2 6" xfId="1175"/>
    <cellStyle name="강조색3 2 7" xfId="1176"/>
    <cellStyle name="강조색3 2 8" xfId="1177"/>
    <cellStyle name="강조색3 2 9" xfId="1178"/>
    <cellStyle name="강조색3 3" xfId="1179"/>
    <cellStyle name="강조색3 4" xfId="1180"/>
    <cellStyle name="강조색3 5" xfId="1181"/>
    <cellStyle name="강조색3 6" xfId="1182"/>
    <cellStyle name="강조색3 7" xfId="1183"/>
    <cellStyle name="강조색3 8" xfId="1184"/>
    <cellStyle name="강조색3 9" xfId="1185"/>
    <cellStyle name="강조색4 10" xfId="1186"/>
    <cellStyle name="강조색4 11" xfId="1187"/>
    <cellStyle name="강조색4 12" xfId="1188"/>
    <cellStyle name="강조색4 13" xfId="1189"/>
    <cellStyle name="강조색4 14" xfId="1190"/>
    <cellStyle name="강조색4 15" xfId="1191"/>
    <cellStyle name="강조색4 16" xfId="1192"/>
    <cellStyle name="강조색4 2" xfId="1193"/>
    <cellStyle name="강조색4 2 2" xfId="1194"/>
    <cellStyle name="강조색4 2 3" xfId="1195"/>
    <cellStyle name="강조색4 2 4" xfId="1196"/>
    <cellStyle name="강조색4 2 5" xfId="1197"/>
    <cellStyle name="강조색4 2 6" xfId="1198"/>
    <cellStyle name="강조색4 2 7" xfId="1199"/>
    <cellStyle name="강조색4 2 8" xfId="1200"/>
    <cellStyle name="강조색4 2 9" xfId="1201"/>
    <cellStyle name="강조색4 3" xfId="1202"/>
    <cellStyle name="강조색4 4" xfId="1203"/>
    <cellStyle name="강조색4 5" xfId="1204"/>
    <cellStyle name="강조색4 6" xfId="1205"/>
    <cellStyle name="강조색4 7" xfId="1206"/>
    <cellStyle name="강조색4 8" xfId="1207"/>
    <cellStyle name="강조색4 9" xfId="1208"/>
    <cellStyle name="강조색5 10" xfId="1209"/>
    <cellStyle name="강조색5 11" xfId="1210"/>
    <cellStyle name="강조색5 12" xfId="1211"/>
    <cellStyle name="강조색5 13" xfId="1212"/>
    <cellStyle name="강조색5 14" xfId="1213"/>
    <cellStyle name="강조색5 15" xfId="1214"/>
    <cellStyle name="강조색5 16" xfId="1215"/>
    <cellStyle name="강조색5 2" xfId="1216"/>
    <cellStyle name="강조색5 2 2" xfId="1217"/>
    <cellStyle name="강조색5 2 3" xfId="1218"/>
    <cellStyle name="강조색5 2 4" xfId="1219"/>
    <cellStyle name="강조색5 2 5" xfId="1220"/>
    <cellStyle name="강조색5 2 6" xfId="1221"/>
    <cellStyle name="강조색5 2 7" xfId="1222"/>
    <cellStyle name="강조색5 2 8" xfId="1223"/>
    <cellStyle name="강조색5 2 9" xfId="1224"/>
    <cellStyle name="강조색5 3" xfId="1225"/>
    <cellStyle name="강조색5 4" xfId="1226"/>
    <cellStyle name="강조색5 5" xfId="1227"/>
    <cellStyle name="강조색5 6" xfId="1228"/>
    <cellStyle name="강조색5 7" xfId="1229"/>
    <cellStyle name="강조색5 8" xfId="1230"/>
    <cellStyle name="강조색5 9" xfId="1231"/>
    <cellStyle name="강조색6 10" xfId="1232"/>
    <cellStyle name="강조색6 11" xfId="1233"/>
    <cellStyle name="강조색6 12" xfId="1234"/>
    <cellStyle name="강조색6 13" xfId="1235"/>
    <cellStyle name="강조색6 14" xfId="1236"/>
    <cellStyle name="강조색6 15" xfId="1237"/>
    <cellStyle name="강조색6 16" xfId="1238"/>
    <cellStyle name="강조색6 2" xfId="1239"/>
    <cellStyle name="강조색6 2 2" xfId="1240"/>
    <cellStyle name="강조색6 2 3" xfId="1241"/>
    <cellStyle name="강조색6 2 4" xfId="1242"/>
    <cellStyle name="강조색6 2 5" xfId="1243"/>
    <cellStyle name="강조색6 2 6" xfId="1244"/>
    <cellStyle name="강조색6 2 7" xfId="1245"/>
    <cellStyle name="강조색6 2 8" xfId="1246"/>
    <cellStyle name="강조색6 2 9" xfId="1247"/>
    <cellStyle name="강조색6 3" xfId="1248"/>
    <cellStyle name="강조색6 4" xfId="1249"/>
    <cellStyle name="강조색6 5" xfId="1250"/>
    <cellStyle name="강조색6 6" xfId="1251"/>
    <cellStyle name="강조색6 7" xfId="1252"/>
    <cellStyle name="강조색6 8" xfId="1253"/>
    <cellStyle name="강조색6 9" xfId="1254"/>
    <cellStyle name="경고문 10" xfId="1255"/>
    <cellStyle name="경고문 11" xfId="1256"/>
    <cellStyle name="경고문 12" xfId="1257"/>
    <cellStyle name="경고문 13" xfId="1258"/>
    <cellStyle name="경고문 14" xfId="1259"/>
    <cellStyle name="경고문 15" xfId="1260"/>
    <cellStyle name="경고문 16" xfId="1261"/>
    <cellStyle name="경고문 2" xfId="1262"/>
    <cellStyle name="경고문 2 2" xfId="1263"/>
    <cellStyle name="경고문 2 3" xfId="1264"/>
    <cellStyle name="경고문 2 4" xfId="1265"/>
    <cellStyle name="경고문 2 5" xfId="1266"/>
    <cellStyle name="경고문 2 6" xfId="1267"/>
    <cellStyle name="경고문 2 7" xfId="1268"/>
    <cellStyle name="경고문 2 8" xfId="1269"/>
    <cellStyle name="경고문 2 9" xfId="1270"/>
    <cellStyle name="경고문 3" xfId="1271"/>
    <cellStyle name="경고문 4" xfId="1272"/>
    <cellStyle name="경고문 5" xfId="1273"/>
    <cellStyle name="경고문 6" xfId="1274"/>
    <cellStyle name="경고문 7" xfId="1275"/>
    <cellStyle name="경고문 8" xfId="1276"/>
    <cellStyle name="경고문 9" xfId="1277"/>
    <cellStyle name="계산 10" xfId="1278"/>
    <cellStyle name="계산 11" xfId="1279"/>
    <cellStyle name="계산 12" xfId="1280"/>
    <cellStyle name="계산 13" xfId="1281"/>
    <cellStyle name="계산 14" xfId="1282"/>
    <cellStyle name="계산 15" xfId="1283"/>
    <cellStyle name="계산 16" xfId="1284"/>
    <cellStyle name="계산 2" xfId="1285"/>
    <cellStyle name="계산 2 2" xfId="1286"/>
    <cellStyle name="계산 2 3" xfId="1287"/>
    <cellStyle name="계산 2 4" xfId="1288"/>
    <cellStyle name="계산 2 5" xfId="1289"/>
    <cellStyle name="계산 2 6" xfId="1290"/>
    <cellStyle name="계산 2 7" xfId="1291"/>
    <cellStyle name="계산 2 8" xfId="1292"/>
    <cellStyle name="계산 2 9" xfId="1293"/>
    <cellStyle name="계산 3" xfId="1294"/>
    <cellStyle name="계산 4" xfId="1295"/>
    <cellStyle name="계산 5" xfId="1296"/>
    <cellStyle name="계산 6" xfId="1297"/>
    <cellStyle name="계산 7" xfId="1298"/>
    <cellStyle name="계산 8" xfId="1299"/>
    <cellStyle name="계산 9" xfId="1300"/>
    <cellStyle name="나쁨 10" xfId="1301"/>
    <cellStyle name="나쁨 11" xfId="1302"/>
    <cellStyle name="나쁨 12" xfId="1303"/>
    <cellStyle name="나쁨 13" xfId="1304"/>
    <cellStyle name="나쁨 14" xfId="1305"/>
    <cellStyle name="나쁨 15" xfId="1306"/>
    <cellStyle name="나쁨 16" xfId="1307"/>
    <cellStyle name="나쁨 2" xfId="1308"/>
    <cellStyle name="나쁨 2 2" xfId="1309"/>
    <cellStyle name="나쁨 2 3" xfId="1310"/>
    <cellStyle name="나쁨 2 4" xfId="1311"/>
    <cellStyle name="나쁨 2 5" xfId="1312"/>
    <cellStyle name="나쁨 2 6" xfId="1313"/>
    <cellStyle name="나쁨 2 7" xfId="1314"/>
    <cellStyle name="나쁨 2 8" xfId="1315"/>
    <cellStyle name="나쁨 2 9" xfId="1316"/>
    <cellStyle name="나쁨 3" xfId="1317"/>
    <cellStyle name="나쁨 4" xfId="1318"/>
    <cellStyle name="나쁨 5" xfId="1319"/>
    <cellStyle name="나쁨 6" xfId="1320"/>
    <cellStyle name="나쁨 7" xfId="1321"/>
    <cellStyle name="나쁨 8" xfId="1322"/>
    <cellStyle name="나쁨 9" xfId="1323"/>
    <cellStyle name="메모 10" xfId="1324"/>
    <cellStyle name="메모 11" xfId="1325"/>
    <cellStyle name="메모 12" xfId="1326"/>
    <cellStyle name="메모 13" xfId="1327"/>
    <cellStyle name="메모 14" xfId="1328"/>
    <cellStyle name="메모 15" xfId="1329"/>
    <cellStyle name="메모 16" xfId="1330"/>
    <cellStyle name="메모 17" xfId="1331"/>
    <cellStyle name="메모 18" xfId="1332"/>
    <cellStyle name="메모 19" xfId="1333"/>
    <cellStyle name="메모 2" xfId="1334"/>
    <cellStyle name="메모 2 10" xfId="1335"/>
    <cellStyle name="메모 2 11" xfId="1336"/>
    <cellStyle name="메모 2 12" xfId="1337"/>
    <cellStyle name="메모 2 13" xfId="1338"/>
    <cellStyle name="메모 2 2" xfId="1339"/>
    <cellStyle name="메모 2 2 2" xfId="1340"/>
    <cellStyle name="메모 2 2 2 2" xfId="1341"/>
    <cellStyle name="메모 2 2 2 2 2" xfId="1342"/>
    <cellStyle name="메모 2 2 2 2 3" xfId="1343"/>
    <cellStyle name="메모 2 2 2 2 4" xfId="1344"/>
    <cellStyle name="메모 2 2 2 2 5" xfId="1345"/>
    <cellStyle name="메모 2 2 2 3" xfId="1346"/>
    <cellStyle name="메모 2 2 2 4" xfId="1347"/>
    <cellStyle name="메모 2 2 2 5" xfId="1348"/>
    <cellStyle name="메모 2 2 3" xfId="1349"/>
    <cellStyle name="메모 2 2 4" xfId="1350"/>
    <cellStyle name="메모 2 2 5" xfId="1351"/>
    <cellStyle name="메모 2 3" xfId="1352"/>
    <cellStyle name="메모 2 3 2" xfId="1353"/>
    <cellStyle name="메모 2 3 3" xfId="1354"/>
    <cellStyle name="메모 2 3 4" xfId="1355"/>
    <cellStyle name="메모 2 3 5" xfId="1356"/>
    <cellStyle name="메모 2 4" xfId="1357"/>
    <cellStyle name="메모 2 4 2" xfId="1358"/>
    <cellStyle name="메모 2 4 3" xfId="1359"/>
    <cellStyle name="메모 2 4 4" xfId="1360"/>
    <cellStyle name="메모 2 4 5" xfId="1361"/>
    <cellStyle name="메모 2 5" xfId="1362"/>
    <cellStyle name="메모 2 6" xfId="1363"/>
    <cellStyle name="메모 2 7" xfId="1364"/>
    <cellStyle name="메모 2 8" xfId="1365"/>
    <cellStyle name="메모 2 9" xfId="1366"/>
    <cellStyle name="메모 20" xfId="1367"/>
    <cellStyle name="메모 21" xfId="1368"/>
    <cellStyle name="메모 22" xfId="1369"/>
    <cellStyle name="메모 23" xfId="1370"/>
    <cellStyle name="메모 24" xfId="1371"/>
    <cellStyle name="메모 25" xfId="1372"/>
    <cellStyle name="메모 26" xfId="1373"/>
    <cellStyle name="메모 27" xfId="1374"/>
    <cellStyle name="메모 28" xfId="1375"/>
    <cellStyle name="메모 29" xfId="1376"/>
    <cellStyle name="메모 3" xfId="1377"/>
    <cellStyle name="메모 3 2" xfId="1378"/>
    <cellStyle name="메모 3 2 2" xfId="1379"/>
    <cellStyle name="메모 3 2 3" xfId="1380"/>
    <cellStyle name="메모 3 2 4" xfId="1381"/>
    <cellStyle name="메모 3 2 5" xfId="1382"/>
    <cellStyle name="메모 3 3" xfId="1383"/>
    <cellStyle name="메모 3 3 2" xfId="1384"/>
    <cellStyle name="메모 3 3 3" xfId="1385"/>
    <cellStyle name="메모 3 3 4" xfId="1386"/>
    <cellStyle name="메모 3 3 5" xfId="1387"/>
    <cellStyle name="메모 3 4" xfId="1388"/>
    <cellStyle name="메모 3 4 2" xfId="1389"/>
    <cellStyle name="메모 3 4 3" xfId="1390"/>
    <cellStyle name="메모 3 4 4" xfId="1391"/>
    <cellStyle name="메모 3 4 5" xfId="1392"/>
    <cellStyle name="메모 3 5" xfId="1393"/>
    <cellStyle name="메모 3 6" xfId="1394"/>
    <cellStyle name="메모 3 7" xfId="1395"/>
    <cellStyle name="메모 30" xfId="1396"/>
    <cellStyle name="메모 31" xfId="1397"/>
    <cellStyle name="메모 32" xfId="1398"/>
    <cellStyle name="메모 33" xfId="1399"/>
    <cellStyle name="메모 34" xfId="1400"/>
    <cellStyle name="메모 35" xfId="1401"/>
    <cellStyle name="메모 36" xfId="1402"/>
    <cellStyle name="메모 37" xfId="1403"/>
    <cellStyle name="메모 38" xfId="1404"/>
    <cellStyle name="메모 39" xfId="1405"/>
    <cellStyle name="메모 4" xfId="1406"/>
    <cellStyle name="메모 4 2" xfId="1407"/>
    <cellStyle name="메모 4 2 2" xfId="1408"/>
    <cellStyle name="메모 4 2 3" xfId="1409"/>
    <cellStyle name="메모 4 2 4" xfId="1410"/>
    <cellStyle name="메모 4 2 5" xfId="1411"/>
    <cellStyle name="메모 4 3" xfId="1412"/>
    <cellStyle name="메모 4 3 2" xfId="1413"/>
    <cellStyle name="메모 4 3 3" xfId="1414"/>
    <cellStyle name="메모 4 3 4" xfId="1415"/>
    <cellStyle name="메모 4 3 5" xfId="1416"/>
    <cellStyle name="메모 4 4" xfId="1417"/>
    <cellStyle name="메모 4 4 2" xfId="1418"/>
    <cellStyle name="메모 4 4 3" xfId="1419"/>
    <cellStyle name="메모 4 4 4" xfId="1420"/>
    <cellStyle name="메모 4 4 5" xfId="1421"/>
    <cellStyle name="메모 4 5" xfId="1422"/>
    <cellStyle name="메모 4 6" xfId="1423"/>
    <cellStyle name="메모 4 7" xfId="1424"/>
    <cellStyle name="메모 40" xfId="1425"/>
    <cellStyle name="메모 41" xfId="1426"/>
    <cellStyle name="메모 42" xfId="1427"/>
    <cellStyle name="메모 43" xfId="1428"/>
    <cellStyle name="메모 44" xfId="1429"/>
    <cellStyle name="메모 45" xfId="1430"/>
    <cellStyle name="메모 46" xfId="1431"/>
    <cellStyle name="메모 47" xfId="1432"/>
    <cellStyle name="메모 48" xfId="1433"/>
    <cellStyle name="메모 49" xfId="1434"/>
    <cellStyle name="메모 5" xfId="1435"/>
    <cellStyle name="메모 5 2" xfId="1436"/>
    <cellStyle name="메모 5 3" xfId="1437"/>
    <cellStyle name="메모 5 4" xfId="1438"/>
    <cellStyle name="메모 5 5" xfId="1439"/>
    <cellStyle name="메모 50" xfId="1440"/>
    <cellStyle name="메모 51" xfId="1441"/>
    <cellStyle name="메모 6" xfId="1442"/>
    <cellStyle name="메모 6 2" xfId="1443"/>
    <cellStyle name="메모 6 3" xfId="1444"/>
    <cellStyle name="메모 6 4" xfId="1445"/>
    <cellStyle name="메모 6 5" xfId="1446"/>
    <cellStyle name="메모 7" xfId="1447"/>
    <cellStyle name="메모 8" xfId="1448"/>
    <cellStyle name="메모 9" xfId="1449"/>
    <cellStyle name="보통 10" xfId="1450"/>
    <cellStyle name="보통 11" xfId="1451"/>
    <cellStyle name="보통 12" xfId="1452"/>
    <cellStyle name="보통 13" xfId="1453"/>
    <cellStyle name="보통 14" xfId="1454"/>
    <cellStyle name="보통 15" xfId="1455"/>
    <cellStyle name="보통 16" xfId="1456"/>
    <cellStyle name="보통 2" xfId="1457"/>
    <cellStyle name="보통 2 2" xfId="1458"/>
    <cellStyle name="보통 2 3" xfId="1459"/>
    <cellStyle name="보통 2 4" xfId="1460"/>
    <cellStyle name="보통 2 5" xfId="1461"/>
    <cellStyle name="보통 2 6" xfId="1462"/>
    <cellStyle name="보통 2 7" xfId="1463"/>
    <cellStyle name="보통 2 8" xfId="1464"/>
    <cellStyle name="보통 2 9" xfId="1465"/>
    <cellStyle name="보통 3" xfId="1466"/>
    <cellStyle name="보통 4" xfId="1467"/>
    <cellStyle name="보통 5" xfId="1468"/>
    <cellStyle name="보통 6" xfId="1469"/>
    <cellStyle name="보통 7" xfId="1470"/>
    <cellStyle name="보통 8" xfId="1471"/>
    <cellStyle name="보통 9" xfId="1472"/>
    <cellStyle name="설명 텍스트 10" xfId="1473"/>
    <cellStyle name="설명 텍스트 11" xfId="1474"/>
    <cellStyle name="설명 텍스트 12" xfId="1475"/>
    <cellStyle name="설명 텍스트 13" xfId="1476"/>
    <cellStyle name="설명 텍스트 14" xfId="1477"/>
    <cellStyle name="설명 텍스트 15" xfId="1478"/>
    <cellStyle name="설명 텍스트 16" xfId="1479"/>
    <cellStyle name="설명 텍스트 2" xfId="1480"/>
    <cellStyle name="설명 텍스트 2 2" xfId="1481"/>
    <cellStyle name="설명 텍스트 2 3" xfId="1482"/>
    <cellStyle name="설명 텍스트 2 4" xfId="1483"/>
    <cellStyle name="설명 텍스트 2 5" xfId="1484"/>
    <cellStyle name="설명 텍스트 2 6" xfId="1485"/>
    <cellStyle name="설명 텍스트 2 7" xfId="1486"/>
    <cellStyle name="설명 텍스트 2 8" xfId="1487"/>
    <cellStyle name="설명 텍스트 2 9" xfId="1488"/>
    <cellStyle name="설명 텍스트 3" xfId="1489"/>
    <cellStyle name="설명 텍스트 4" xfId="1490"/>
    <cellStyle name="설명 텍스트 5" xfId="1491"/>
    <cellStyle name="설명 텍스트 6" xfId="1492"/>
    <cellStyle name="설명 텍스트 7" xfId="1493"/>
    <cellStyle name="설명 텍스트 8" xfId="1494"/>
    <cellStyle name="설명 텍스트 9" xfId="1495"/>
    <cellStyle name="셀 확인 10" xfId="1496"/>
    <cellStyle name="셀 확인 11" xfId="1497"/>
    <cellStyle name="셀 확인 12" xfId="1498"/>
    <cellStyle name="셀 확인 13" xfId="1499"/>
    <cellStyle name="셀 확인 14" xfId="1500"/>
    <cellStyle name="셀 확인 15" xfId="1501"/>
    <cellStyle name="셀 확인 16" xfId="1502"/>
    <cellStyle name="셀 확인 2" xfId="1503"/>
    <cellStyle name="셀 확인 2 2" xfId="1504"/>
    <cellStyle name="셀 확인 2 3" xfId="1505"/>
    <cellStyle name="셀 확인 2 4" xfId="1506"/>
    <cellStyle name="셀 확인 2 5" xfId="1507"/>
    <cellStyle name="셀 확인 2 6" xfId="1508"/>
    <cellStyle name="셀 확인 2 7" xfId="1509"/>
    <cellStyle name="셀 확인 2 8" xfId="1510"/>
    <cellStyle name="셀 확인 2 9" xfId="1511"/>
    <cellStyle name="셀 확인 3" xfId="1512"/>
    <cellStyle name="셀 확인 4" xfId="1513"/>
    <cellStyle name="셀 확인 5" xfId="1514"/>
    <cellStyle name="셀 확인 6" xfId="1515"/>
    <cellStyle name="셀 확인 7" xfId="1516"/>
    <cellStyle name="셀 확인 8" xfId="1517"/>
    <cellStyle name="셀 확인 9" xfId="1518"/>
    <cellStyle name="쉼표 [0] 2" xfId="6"/>
    <cellStyle name="쉼표 [0] 2 10" xfId="1519"/>
    <cellStyle name="쉼표 [0] 2 10 2" xfId="4447"/>
    <cellStyle name="쉼표 [0] 2 2" xfId="1520"/>
    <cellStyle name="쉼표 [0] 2 2 2" xfId="1521"/>
    <cellStyle name="쉼표 [0] 2 2 2 2" xfId="1522"/>
    <cellStyle name="쉼표 [0] 2 2 2 2 2" xfId="4448"/>
    <cellStyle name="쉼표 [0] 2 2 3" xfId="1523"/>
    <cellStyle name="쉼표 [0] 2 2 3 2" xfId="4449"/>
    <cellStyle name="쉼표 [0] 2 3" xfId="1524"/>
    <cellStyle name="쉼표 [0] 2 3 2" xfId="1525"/>
    <cellStyle name="쉼표 [0] 2 3 2 2" xfId="1526"/>
    <cellStyle name="쉼표 [0] 2 3 2 2 2" xfId="4450"/>
    <cellStyle name="쉼표 [0] 2 3 3" xfId="1527"/>
    <cellStyle name="쉼표 [0] 2 3 3 2" xfId="4451"/>
    <cellStyle name="쉼표 [0] 2 4" xfId="1528"/>
    <cellStyle name="쉼표 [0] 2 4 2" xfId="1529"/>
    <cellStyle name="쉼표 [0] 2 4 2 2" xfId="1530"/>
    <cellStyle name="쉼표 [0] 2 4 2 2 2" xfId="4452"/>
    <cellStyle name="쉼표 [0] 2 4 3" xfId="1531"/>
    <cellStyle name="쉼표 [0] 2 4 3 2" xfId="4453"/>
    <cellStyle name="쉼표 [0] 2 5" xfId="1532"/>
    <cellStyle name="쉼표 [0] 2 5 2" xfId="1533"/>
    <cellStyle name="쉼표 [0] 2 5 2 2" xfId="4454"/>
    <cellStyle name="쉼표 [0] 2 6" xfId="1534"/>
    <cellStyle name="쉼표 [0] 2 6 2" xfId="1535"/>
    <cellStyle name="쉼표 [0] 2 6 2 2" xfId="4455"/>
    <cellStyle name="쉼표 [0] 2 7" xfId="1536"/>
    <cellStyle name="쉼표 [0] 2 7 2" xfId="1537"/>
    <cellStyle name="쉼표 [0] 2 7 2 2" xfId="4456"/>
    <cellStyle name="쉼표 [0] 2 8" xfId="1538"/>
    <cellStyle name="쉼표 [0] 2 8 2" xfId="1539"/>
    <cellStyle name="쉼표 [0] 2 8 2 2" xfId="4457"/>
    <cellStyle name="쉼표 [0] 2 9" xfId="1540"/>
    <cellStyle name="쉼표 [0] 2 9 2" xfId="1541"/>
    <cellStyle name="쉼표 [0] 2 9 2 2" xfId="4458"/>
    <cellStyle name="쉼표 [0] 3" xfId="2"/>
    <cellStyle name="쉼표 [0] 3 2" xfId="4459"/>
    <cellStyle name="연결된 셀 10" xfId="1542"/>
    <cellStyle name="연결된 셀 11" xfId="1543"/>
    <cellStyle name="연결된 셀 12" xfId="1544"/>
    <cellStyle name="연결된 셀 13" xfId="1545"/>
    <cellStyle name="연결된 셀 14" xfId="1546"/>
    <cellStyle name="연결된 셀 15" xfId="1547"/>
    <cellStyle name="연결된 셀 16" xfId="1548"/>
    <cellStyle name="연결된 셀 2" xfId="1549"/>
    <cellStyle name="연결된 셀 2 2" xfId="1550"/>
    <cellStyle name="연결된 셀 2 3" xfId="1551"/>
    <cellStyle name="연결된 셀 2 4" xfId="1552"/>
    <cellStyle name="연결된 셀 2 5" xfId="1553"/>
    <cellStyle name="연결된 셀 2 6" xfId="1554"/>
    <cellStyle name="연결된 셀 2 7" xfId="1555"/>
    <cellStyle name="연결된 셀 2 8" xfId="1556"/>
    <cellStyle name="연결된 셀 2 9" xfId="1557"/>
    <cellStyle name="연결된 셀 3" xfId="1558"/>
    <cellStyle name="연결된 셀 4" xfId="1559"/>
    <cellStyle name="연결된 셀 5" xfId="1560"/>
    <cellStyle name="연결된 셀 6" xfId="1561"/>
    <cellStyle name="연결된 셀 7" xfId="1562"/>
    <cellStyle name="연결된 셀 8" xfId="1563"/>
    <cellStyle name="연결된 셀 9" xfId="1564"/>
    <cellStyle name="요약 10" xfId="1565"/>
    <cellStyle name="요약 11" xfId="1566"/>
    <cellStyle name="요약 12" xfId="1567"/>
    <cellStyle name="요약 13" xfId="1568"/>
    <cellStyle name="요약 14" xfId="1569"/>
    <cellStyle name="요약 15" xfId="1570"/>
    <cellStyle name="요약 16" xfId="1571"/>
    <cellStyle name="요약 2" xfId="1572"/>
    <cellStyle name="요약 2 2" xfId="1573"/>
    <cellStyle name="요약 2 3" xfId="1574"/>
    <cellStyle name="요약 2 4" xfId="1575"/>
    <cellStyle name="요약 2 5" xfId="1576"/>
    <cellStyle name="요약 2 6" xfId="1577"/>
    <cellStyle name="요약 2 7" xfId="1578"/>
    <cellStyle name="요약 2 8" xfId="1579"/>
    <cellStyle name="요약 2 9" xfId="1580"/>
    <cellStyle name="요약 3" xfId="1581"/>
    <cellStyle name="요약 4" xfId="1582"/>
    <cellStyle name="요약 5" xfId="1583"/>
    <cellStyle name="요약 6" xfId="1584"/>
    <cellStyle name="요약 7" xfId="1585"/>
    <cellStyle name="요약 8" xfId="1586"/>
    <cellStyle name="요약 9" xfId="1587"/>
    <cellStyle name="입력 10" xfId="1588"/>
    <cellStyle name="입력 11" xfId="1589"/>
    <cellStyle name="입력 12" xfId="1590"/>
    <cellStyle name="입력 13" xfId="1591"/>
    <cellStyle name="입력 14" xfId="1592"/>
    <cellStyle name="입력 15" xfId="1593"/>
    <cellStyle name="입력 16" xfId="1594"/>
    <cellStyle name="입력 2" xfId="1595"/>
    <cellStyle name="입력 2 2" xfId="1596"/>
    <cellStyle name="입력 2 3" xfId="1597"/>
    <cellStyle name="입력 2 4" xfId="1598"/>
    <cellStyle name="입력 2 5" xfId="1599"/>
    <cellStyle name="입력 2 6" xfId="1600"/>
    <cellStyle name="입력 2 7" xfId="1601"/>
    <cellStyle name="입력 2 8" xfId="1602"/>
    <cellStyle name="입력 2 9" xfId="1603"/>
    <cellStyle name="입력 3" xfId="1604"/>
    <cellStyle name="입력 4" xfId="1605"/>
    <cellStyle name="입력 5" xfId="1606"/>
    <cellStyle name="입력 6" xfId="1607"/>
    <cellStyle name="입력 7" xfId="1608"/>
    <cellStyle name="입력 8" xfId="1609"/>
    <cellStyle name="입력 9" xfId="1610"/>
    <cellStyle name="제목 1 10" xfId="1611"/>
    <cellStyle name="제목 1 11" xfId="1612"/>
    <cellStyle name="제목 1 12" xfId="1613"/>
    <cellStyle name="제목 1 13" xfId="1614"/>
    <cellStyle name="제목 1 14" xfId="1615"/>
    <cellStyle name="제목 1 15" xfId="1616"/>
    <cellStyle name="제목 1 16" xfId="1617"/>
    <cellStyle name="제목 1 2" xfId="1618"/>
    <cellStyle name="제목 1 2 2" xfId="1619"/>
    <cellStyle name="제목 1 2 3" xfId="1620"/>
    <cellStyle name="제목 1 2 4" xfId="1621"/>
    <cellStyle name="제목 1 2 5" xfId="1622"/>
    <cellStyle name="제목 1 2 6" xfId="1623"/>
    <cellStyle name="제목 1 2 7" xfId="1624"/>
    <cellStyle name="제목 1 2 8" xfId="1625"/>
    <cellStyle name="제목 1 2 9" xfId="1626"/>
    <cellStyle name="제목 1 3" xfId="1627"/>
    <cellStyle name="제목 1 4" xfId="1628"/>
    <cellStyle name="제목 1 5" xfId="1629"/>
    <cellStyle name="제목 1 6" xfId="1630"/>
    <cellStyle name="제목 1 7" xfId="1631"/>
    <cellStyle name="제목 1 8" xfId="1632"/>
    <cellStyle name="제목 1 9" xfId="1633"/>
    <cellStyle name="제목 10" xfId="1634"/>
    <cellStyle name="제목 11" xfId="1635"/>
    <cellStyle name="제목 12" xfId="1636"/>
    <cellStyle name="제목 13" xfId="1637"/>
    <cellStyle name="제목 14" xfId="1638"/>
    <cellStyle name="제목 15" xfId="1639"/>
    <cellStyle name="제목 16" xfId="1640"/>
    <cellStyle name="제목 17" xfId="1641"/>
    <cellStyle name="제목 18" xfId="1642"/>
    <cellStyle name="제목 19" xfId="1643"/>
    <cellStyle name="제목 2 10" xfId="1644"/>
    <cellStyle name="제목 2 11" xfId="1645"/>
    <cellStyle name="제목 2 12" xfId="1646"/>
    <cellStyle name="제목 2 13" xfId="1647"/>
    <cellStyle name="제목 2 14" xfId="1648"/>
    <cellStyle name="제목 2 15" xfId="1649"/>
    <cellStyle name="제목 2 16" xfId="1650"/>
    <cellStyle name="제목 2 2" xfId="1651"/>
    <cellStyle name="제목 2 2 2" xfId="1652"/>
    <cellStyle name="제목 2 2 3" xfId="1653"/>
    <cellStyle name="제목 2 2 4" xfId="1654"/>
    <cellStyle name="제목 2 2 5" xfId="1655"/>
    <cellStyle name="제목 2 2 6" xfId="1656"/>
    <cellStyle name="제목 2 2 7" xfId="1657"/>
    <cellStyle name="제목 2 2 8" xfId="1658"/>
    <cellStyle name="제목 2 2 9" xfId="1659"/>
    <cellStyle name="제목 2 3" xfId="1660"/>
    <cellStyle name="제목 2 4" xfId="1661"/>
    <cellStyle name="제목 2 5" xfId="1662"/>
    <cellStyle name="제목 2 6" xfId="1663"/>
    <cellStyle name="제목 2 7" xfId="1664"/>
    <cellStyle name="제목 2 8" xfId="1665"/>
    <cellStyle name="제목 2 9" xfId="1666"/>
    <cellStyle name="제목 3 10" xfId="1667"/>
    <cellStyle name="제목 3 11" xfId="1668"/>
    <cellStyle name="제목 3 12" xfId="1669"/>
    <cellStyle name="제목 3 13" xfId="1670"/>
    <cellStyle name="제목 3 14" xfId="1671"/>
    <cellStyle name="제목 3 15" xfId="1672"/>
    <cellStyle name="제목 3 16" xfId="1673"/>
    <cellStyle name="제목 3 2" xfId="1674"/>
    <cellStyle name="제목 3 2 2" xfId="1675"/>
    <cellStyle name="제목 3 2 3" xfId="1676"/>
    <cellStyle name="제목 3 2 4" xfId="1677"/>
    <cellStyle name="제목 3 2 5" xfId="1678"/>
    <cellStyle name="제목 3 2 6" xfId="1679"/>
    <cellStyle name="제목 3 2 7" xfId="1680"/>
    <cellStyle name="제목 3 2 8" xfId="1681"/>
    <cellStyle name="제목 3 2 9" xfId="1682"/>
    <cellStyle name="제목 3 3" xfId="1683"/>
    <cellStyle name="제목 3 4" xfId="1684"/>
    <cellStyle name="제목 3 5" xfId="1685"/>
    <cellStyle name="제목 3 6" xfId="1686"/>
    <cellStyle name="제목 3 7" xfId="1687"/>
    <cellStyle name="제목 3 8" xfId="1688"/>
    <cellStyle name="제목 3 9" xfId="1689"/>
    <cellStyle name="제목 4 10" xfId="1690"/>
    <cellStyle name="제목 4 11" xfId="1691"/>
    <cellStyle name="제목 4 12" xfId="1692"/>
    <cellStyle name="제목 4 13" xfId="1693"/>
    <cellStyle name="제목 4 14" xfId="1694"/>
    <cellStyle name="제목 4 15" xfId="1695"/>
    <cellStyle name="제목 4 16" xfId="1696"/>
    <cellStyle name="제목 4 2" xfId="1697"/>
    <cellStyle name="제목 4 2 2" xfId="1698"/>
    <cellStyle name="제목 4 2 3" xfId="1699"/>
    <cellStyle name="제목 4 2 4" xfId="1700"/>
    <cellStyle name="제목 4 2 5" xfId="1701"/>
    <cellStyle name="제목 4 2 6" xfId="1702"/>
    <cellStyle name="제목 4 2 7" xfId="1703"/>
    <cellStyle name="제목 4 2 8" xfId="1704"/>
    <cellStyle name="제목 4 2 9" xfId="1705"/>
    <cellStyle name="제목 4 3" xfId="1706"/>
    <cellStyle name="제목 4 4" xfId="1707"/>
    <cellStyle name="제목 4 5" xfId="1708"/>
    <cellStyle name="제목 4 6" xfId="1709"/>
    <cellStyle name="제목 4 7" xfId="1710"/>
    <cellStyle name="제목 4 8" xfId="1711"/>
    <cellStyle name="제목 4 9" xfId="1712"/>
    <cellStyle name="제목 5" xfId="1713"/>
    <cellStyle name="제목 5 2" xfId="1714"/>
    <cellStyle name="제목 5 3" xfId="1715"/>
    <cellStyle name="제목 5 4" xfId="1716"/>
    <cellStyle name="제목 5 5" xfId="1717"/>
    <cellStyle name="제목 5 6" xfId="1718"/>
    <cellStyle name="제목 5 7" xfId="1719"/>
    <cellStyle name="제목 5 8" xfId="1720"/>
    <cellStyle name="제목 5 9" xfId="1721"/>
    <cellStyle name="제목 6" xfId="1722"/>
    <cellStyle name="제목 7" xfId="1723"/>
    <cellStyle name="제목 8" xfId="1724"/>
    <cellStyle name="제목 9" xfId="1725"/>
    <cellStyle name="좋음 10" xfId="1726"/>
    <cellStyle name="좋음 11" xfId="1727"/>
    <cellStyle name="좋음 12" xfId="1728"/>
    <cellStyle name="좋음 13" xfId="1729"/>
    <cellStyle name="좋음 14" xfId="1730"/>
    <cellStyle name="좋음 15" xfId="1731"/>
    <cellStyle name="좋음 16" xfId="1732"/>
    <cellStyle name="좋음 2" xfId="1733"/>
    <cellStyle name="좋음 2 2" xfId="1734"/>
    <cellStyle name="좋음 2 3" xfId="1735"/>
    <cellStyle name="좋음 2 4" xfId="1736"/>
    <cellStyle name="좋음 2 5" xfId="1737"/>
    <cellStyle name="좋음 2 6" xfId="1738"/>
    <cellStyle name="좋음 2 7" xfId="1739"/>
    <cellStyle name="좋음 2 8" xfId="1740"/>
    <cellStyle name="좋음 2 9" xfId="1741"/>
    <cellStyle name="좋음 3" xfId="1742"/>
    <cellStyle name="좋음 4" xfId="1743"/>
    <cellStyle name="좋음 5" xfId="1744"/>
    <cellStyle name="좋음 6" xfId="1745"/>
    <cellStyle name="좋음 7" xfId="1746"/>
    <cellStyle name="좋음 8" xfId="1747"/>
    <cellStyle name="좋음 9" xfId="1748"/>
    <cellStyle name="출력 10" xfId="1749"/>
    <cellStyle name="출력 11" xfId="1750"/>
    <cellStyle name="출력 12" xfId="1751"/>
    <cellStyle name="출력 13" xfId="1752"/>
    <cellStyle name="출력 14" xfId="1753"/>
    <cellStyle name="출력 15" xfId="1754"/>
    <cellStyle name="출력 16" xfId="1755"/>
    <cellStyle name="출력 2" xfId="1756"/>
    <cellStyle name="출력 2 2" xfId="1757"/>
    <cellStyle name="출력 2 3" xfId="1758"/>
    <cellStyle name="출력 2 4" xfId="1759"/>
    <cellStyle name="출력 2 5" xfId="1760"/>
    <cellStyle name="출력 2 6" xfId="1761"/>
    <cellStyle name="출력 2 7" xfId="1762"/>
    <cellStyle name="출력 2 8" xfId="1763"/>
    <cellStyle name="출력 2 9" xfId="1764"/>
    <cellStyle name="출력 3" xfId="1765"/>
    <cellStyle name="출력 4" xfId="1766"/>
    <cellStyle name="출력 5" xfId="1767"/>
    <cellStyle name="출력 6" xfId="1768"/>
    <cellStyle name="출력 7" xfId="1769"/>
    <cellStyle name="출력 8" xfId="1770"/>
    <cellStyle name="출력 9" xfId="1771"/>
    <cellStyle name="표준" xfId="0" builtinId="0"/>
    <cellStyle name="표준 10" xfId="1772"/>
    <cellStyle name="표준 10 10" xfId="1773"/>
    <cellStyle name="표준 10 100" xfId="1774"/>
    <cellStyle name="표준 10 101" xfId="1775"/>
    <cellStyle name="표준 10 102" xfId="1776"/>
    <cellStyle name="표준 10 103" xfId="1777"/>
    <cellStyle name="표준 10 104" xfId="1778"/>
    <cellStyle name="표준 10 105" xfId="1779"/>
    <cellStyle name="표준 10 106" xfId="1780"/>
    <cellStyle name="표준 10 107" xfId="1781"/>
    <cellStyle name="표준 10 108" xfId="1782"/>
    <cellStyle name="표준 10 109" xfId="1783"/>
    <cellStyle name="표준 10 11" xfId="1784"/>
    <cellStyle name="표준 10 110" xfId="1785"/>
    <cellStyle name="표준 10 111" xfId="1786"/>
    <cellStyle name="표준 10 12" xfId="1787"/>
    <cellStyle name="표준 10 13" xfId="1788"/>
    <cellStyle name="표준 10 14" xfId="1789"/>
    <cellStyle name="표준 10 15" xfId="1790"/>
    <cellStyle name="표준 10 16" xfId="1791"/>
    <cellStyle name="표준 10 17" xfId="1792"/>
    <cellStyle name="표준 10 18" xfId="1793"/>
    <cellStyle name="표준 10 19" xfId="1794"/>
    <cellStyle name="표준 10 2" xfId="1795"/>
    <cellStyle name="표준 10 2 2" xfId="1796"/>
    <cellStyle name="표준 10 2 3" xfId="1797"/>
    <cellStyle name="표준 10 2 4" xfId="1798"/>
    <cellStyle name="표준 10 2 5" xfId="1799"/>
    <cellStyle name="표준 10 20" xfId="1800"/>
    <cellStyle name="표준 10 21" xfId="1801"/>
    <cellStyle name="표준 10 22" xfId="1802"/>
    <cellStyle name="표준 10 23" xfId="1803"/>
    <cellStyle name="표준 10 24" xfId="1804"/>
    <cellStyle name="표준 10 25" xfId="1805"/>
    <cellStyle name="표준 10 26" xfId="1806"/>
    <cellStyle name="표준 10 27" xfId="1807"/>
    <cellStyle name="표준 10 28" xfId="1808"/>
    <cellStyle name="표준 10 29" xfId="1809"/>
    <cellStyle name="표준 10 3" xfId="1810"/>
    <cellStyle name="표준 10 30" xfId="1811"/>
    <cellStyle name="표준 10 31" xfId="1812"/>
    <cellStyle name="표준 10 32" xfId="1813"/>
    <cellStyle name="표준 10 33" xfId="1814"/>
    <cellStyle name="표준 10 34" xfId="1815"/>
    <cellStyle name="표준 10 35" xfId="1816"/>
    <cellStyle name="표준 10 36" xfId="1817"/>
    <cellStyle name="표준 10 37" xfId="1818"/>
    <cellStyle name="표준 10 38" xfId="1819"/>
    <cellStyle name="표준 10 39" xfId="1820"/>
    <cellStyle name="표준 10 4" xfId="1821"/>
    <cellStyle name="표준 10 40" xfId="1822"/>
    <cellStyle name="표준 10 41" xfId="1823"/>
    <cellStyle name="표준 10 42" xfId="1824"/>
    <cellStyle name="표준 10 43" xfId="1825"/>
    <cellStyle name="표준 10 44" xfId="1826"/>
    <cellStyle name="표준 10 45" xfId="1827"/>
    <cellStyle name="표준 10 46" xfId="1828"/>
    <cellStyle name="표준 10 47" xfId="1829"/>
    <cellStyle name="표준 10 48" xfId="1830"/>
    <cellStyle name="표준 10 49" xfId="1831"/>
    <cellStyle name="표준 10 5" xfId="1832"/>
    <cellStyle name="표준 10 50" xfId="1833"/>
    <cellStyle name="표준 10 51" xfId="1834"/>
    <cellStyle name="표준 10 52" xfId="1835"/>
    <cellStyle name="표준 10 53" xfId="1836"/>
    <cellStyle name="표준 10 54" xfId="1837"/>
    <cellStyle name="표준 10 55" xfId="1838"/>
    <cellStyle name="표준 10 56" xfId="1839"/>
    <cellStyle name="표준 10 57" xfId="1840"/>
    <cellStyle name="표준 10 58" xfId="1841"/>
    <cellStyle name="표준 10 59" xfId="1842"/>
    <cellStyle name="표준 10 6" xfId="1843"/>
    <cellStyle name="표준 10 60" xfId="1844"/>
    <cellStyle name="표준 10 61" xfId="1845"/>
    <cellStyle name="표준 10 62" xfId="1846"/>
    <cellStyle name="표준 10 63" xfId="1847"/>
    <cellStyle name="표준 10 64" xfId="1848"/>
    <cellStyle name="표준 10 65" xfId="1849"/>
    <cellStyle name="표준 10 66" xfId="1850"/>
    <cellStyle name="표준 10 67" xfId="1851"/>
    <cellStyle name="표준 10 68" xfId="1852"/>
    <cellStyle name="표준 10 69" xfId="1853"/>
    <cellStyle name="표준 10 7" xfId="1854"/>
    <cellStyle name="표준 10 70" xfId="1855"/>
    <cellStyle name="표준 10 71" xfId="1856"/>
    <cellStyle name="표준 10 72" xfId="1857"/>
    <cellStyle name="표준 10 73" xfId="1858"/>
    <cellStyle name="표준 10 74" xfId="1859"/>
    <cellStyle name="표준 10 75" xfId="1860"/>
    <cellStyle name="표준 10 76" xfId="1861"/>
    <cellStyle name="표준 10 77" xfId="1862"/>
    <cellStyle name="표준 10 78" xfId="1863"/>
    <cellStyle name="표준 10 79" xfId="1864"/>
    <cellStyle name="표준 10 8" xfId="1865"/>
    <cellStyle name="표준 10 80" xfId="1866"/>
    <cellStyle name="표준 10 81" xfId="1867"/>
    <cellStyle name="표준 10 82" xfId="1868"/>
    <cellStyle name="표준 10 83" xfId="1869"/>
    <cellStyle name="표준 10 84" xfId="1870"/>
    <cellStyle name="표준 10 85" xfId="1871"/>
    <cellStyle name="표준 10 86" xfId="1872"/>
    <cellStyle name="표준 10 87" xfId="1873"/>
    <cellStyle name="표준 10 88" xfId="1874"/>
    <cellStyle name="표준 10 89" xfId="1875"/>
    <cellStyle name="표준 10 9" xfId="1876"/>
    <cellStyle name="표준 10 90" xfId="1877"/>
    <cellStyle name="표준 10 91" xfId="1878"/>
    <cellStyle name="표준 10 92" xfId="1879"/>
    <cellStyle name="표준 10 93" xfId="1880"/>
    <cellStyle name="표준 10 94" xfId="1881"/>
    <cellStyle name="표준 10 95" xfId="1882"/>
    <cellStyle name="표준 10 96" xfId="1883"/>
    <cellStyle name="표준 10 97" xfId="1884"/>
    <cellStyle name="표준 10 98" xfId="1885"/>
    <cellStyle name="표준 10 99" xfId="1886"/>
    <cellStyle name="표준 100" xfId="1887"/>
    <cellStyle name="표준 101" xfId="1888"/>
    <cellStyle name="표준 102" xfId="1889"/>
    <cellStyle name="표준 103" xfId="1890"/>
    <cellStyle name="표준 106" xfId="1891"/>
    <cellStyle name="표준 109" xfId="1892"/>
    <cellStyle name="표준 11" xfId="1893"/>
    <cellStyle name="표준 110" xfId="1894"/>
    <cellStyle name="표준 111" xfId="1895"/>
    <cellStyle name="표준 12" xfId="1896"/>
    <cellStyle name="표준 12 10" xfId="1897"/>
    <cellStyle name="표준 12 11" xfId="1898"/>
    <cellStyle name="표준 12 12" xfId="1899"/>
    <cellStyle name="표준 12 13" xfId="1900"/>
    <cellStyle name="표준 12 14" xfId="1901"/>
    <cellStyle name="표준 12 15" xfId="1902"/>
    <cellStyle name="표준 12 16" xfId="1903"/>
    <cellStyle name="표준 12 17" xfId="1904"/>
    <cellStyle name="표준 12 18" xfId="1905"/>
    <cellStyle name="표준 12 19" xfId="1906"/>
    <cellStyle name="표준 12 2" xfId="1907"/>
    <cellStyle name="표준 12 2 2" xfId="1908"/>
    <cellStyle name="표준 12 2 3" xfId="1909"/>
    <cellStyle name="표준 12 2 4" xfId="1910"/>
    <cellStyle name="표준 12 2 5" xfId="1911"/>
    <cellStyle name="표준 12 20" xfId="1912"/>
    <cellStyle name="표준 12 21" xfId="1913"/>
    <cellStyle name="표준 12 22" xfId="1914"/>
    <cellStyle name="표준 12 23" xfId="1915"/>
    <cellStyle name="표준 12 24" xfId="1916"/>
    <cellStyle name="표준 12 25" xfId="1917"/>
    <cellStyle name="표준 12 26" xfId="1918"/>
    <cellStyle name="표준 12 27" xfId="1919"/>
    <cellStyle name="표준 12 3" xfId="1920"/>
    <cellStyle name="표준 12 4" xfId="1921"/>
    <cellStyle name="표준 12 5" xfId="1922"/>
    <cellStyle name="표준 12 6" xfId="1923"/>
    <cellStyle name="표준 12 7" xfId="1924"/>
    <cellStyle name="표준 12 8" xfId="1925"/>
    <cellStyle name="표준 12 9" xfId="1926"/>
    <cellStyle name="표준 13" xfId="1927"/>
    <cellStyle name="표준 13 2" xfId="1928"/>
    <cellStyle name="표준 13 3" xfId="1929"/>
    <cellStyle name="표준 13 4" xfId="1930"/>
    <cellStyle name="표준 13 5" xfId="1931"/>
    <cellStyle name="표준 14" xfId="1932"/>
    <cellStyle name="표준 14 10" xfId="1933"/>
    <cellStyle name="표준 14 11" xfId="1934"/>
    <cellStyle name="표준 14 12" xfId="1935"/>
    <cellStyle name="표준 14 13" xfId="1936"/>
    <cellStyle name="표준 14 14" xfId="1937"/>
    <cellStyle name="표준 14 15" xfId="1938"/>
    <cellStyle name="표준 14 16" xfId="1939"/>
    <cellStyle name="표준 14 17" xfId="1940"/>
    <cellStyle name="표준 14 18" xfId="1941"/>
    <cellStyle name="표준 14 19" xfId="1942"/>
    <cellStyle name="표준 14 2" xfId="1943"/>
    <cellStyle name="표준 14 3" xfId="1944"/>
    <cellStyle name="표준 14 4" xfId="1945"/>
    <cellStyle name="표준 14 5" xfId="1946"/>
    <cellStyle name="표준 14 6" xfId="1947"/>
    <cellStyle name="표준 14 7" xfId="1948"/>
    <cellStyle name="표준 14 8" xfId="1949"/>
    <cellStyle name="표준 14 9" xfId="1950"/>
    <cellStyle name="표준 15" xfId="1951"/>
    <cellStyle name="표준 15 10" xfId="1952"/>
    <cellStyle name="표준 15 11" xfId="1953"/>
    <cellStyle name="표준 15 12" xfId="1954"/>
    <cellStyle name="표준 15 13" xfId="1955"/>
    <cellStyle name="표준 15 14" xfId="1956"/>
    <cellStyle name="표준 15 15" xfId="1957"/>
    <cellStyle name="표준 15 16" xfId="1958"/>
    <cellStyle name="표준 15 17" xfId="1959"/>
    <cellStyle name="표준 15 18" xfId="1960"/>
    <cellStyle name="표준 15 19" xfId="1961"/>
    <cellStyle name="표준 15 2" xfId="1962"/>
    <cellStyle name="표준 15 3" xfId="1963"/>
    <cellStyle name="표준 15 4" xfId="1964"/>
    <cellStyle name="표준 15 5" xfId="1965"/>
    <cellStyle name="표준 15 6" xfId="1966"/>
    <cellStyle name="표준 15 7" xfId="1967"/>
    <cellStyle name="표준 15 8" xfId="1968"/>
    <cellStyle name="표준 15 9" xfId="1969"/>
    <cellStyle name="표준 16" xfId="1970"/>
    <cellStyle name="표준 16 10" xfId="1971"/>
    <cellStyle name="표준 16 11" xfId="1972"/>
    <cellStyle name="표준 16 12" xfId="1973"/>
    <cellStyle name="표준 16 13" xfId="1974"/>
    <cellStyle name="표준 16 14" xfId="1975"/>
    <cellStyle name="표준 16 15" xfId="1976"/>
    <cellStyle name="표준 16 16" xfId="1977"/>
    <cellStyle name="표준 16 17" xfId="1978"/>
    <cellStyle name="표준 16 18" xfId="1979"/>
    <cellStyle name="표준 16 19" xfId="1980"/>
    <cellStyle name="표준 16 2" xfId="1981"/>
    <cellStyle name="표준 16 3" xfId="1982"/>
    <cellStyle name="표준 16 4" xfId="1983"/>
    <cellStyle name="표준 16 5" xfId="1984"/>
    <cellStyle name="표준 16 6" xfId="1985"/>
    <cellStyle name="표준 16 7" xfId="1986"/>
    <cellStyle name="표준 16 8" xfId="1987"/>
    <cellStyle name="표준 16 9" xfId="1988"/>
    <cellStyle name="표준 17" xfId="1989"/>
    <cellStyle name="표준 17 10" xfId="1990"/>
    <cellStyle name="표준 17 100" xfId="1991"/>
    <cellStyle name="표준 17 101" xfId="1992"/>
    <cellStyle name="표준 17 102" xfId="1993"/>
    <cellStyle name="표준 17 103" xfId="1994"/>
    <cellStyle name="표준 17 104" xfId="1995"/>
    <cellStyle name="표준 17 105" xfId="1996"/>
    <cellStyle name="표준 17 106" xfId="1997"/>
    <cellStyle name="표준 17 107" xfId="1998"/>
    <cellStyle name="표준 17 108" xfId="1999"/>
    <cellStyle name="표준 17 109" xfId="2000"/>
    <cellStyle name="표준 17 11" xfId="2001"/>
    <cellStyle name="표준 17 110" xfId="2002"/>
    <cellStyle name="표준 17 111" xfId="2003"/>
    <cellStyle name="표준 17 112" xfId="2004"/>
    <cellStyle name="표준 17 113" xfId="2005"/>
    <cellStyle name="표준 17 114" xfId="2006"/>
    <cellStyle name="표준 17 115" xfId="2007"/>
    <cellStyle name="표준 17 12" xfId="2008"/>
    <cellStyle name="표준 17 13" xfId="2009"/>
    <cellStyle name="표준 17 14" xfId="2010"/>
    <cellStyle name="표준 17 15" xfId="2011"/>
    <cellStyle name="표준 17 16" xfId="2012"/>
    <cellStyle name="표준 17 17" xfId="2013"/>
    <cellStyle name="표준 17 18" xfId="2014"/>
    <cellStyle name="표준 17 19" xfId="2015"/>
    <cellStyle name="표준 17 2" xfId="2016"/>
    <cellStyle name="표준 17 20" xfId="2017"/>
    <cellStyle name="표준 17 21" xfId="2018"/>
    <cellStyle name="표준 17 22" xfId="2019"/>
    <cellStyle name="표준 17 23" xfId="2020"/>
    <cellStyle name="표준 17 24" xfId="2021"/>
    <cellStyle name="표준 17 25" xfId="2022"/>
    <cellStyle name="표준 17 26" xfId="2023"/>
    <cellStyle name="표준 17 27" xfId="2024"/>
    <cellStyle name="표준 17 28" xfId="2025"/>
    <cellStyle name="표준 17 29" xfId="2026"/>
    <cellStyle name="표준 17 3" xfId="2027"/>
    <cellStyle name="표준 17 30" xfId="2028"/>
    <cellStyle name="표준 17 31" xfId="2029"/>
    <cellStyle name="표준 17 32" xfId="2030"/>
    <cellStyle name="표준 17 33" xfId="2031"/>
    <cellStyle name="표준 17 34" xfId="2032"/>
    <cellStyle name="표준 17 35" xfId="2033"/>
    <cellStyle name="표준 17 36" xfId="2034"/>
    <cellStyle name="표준 17 37" xfId="2035"/>
    <cellStyle name="표준 17 38" xfId="2036"/>
    <cellStyle name="표준 17 39" xfId="2037"/>
    <cellStyle name="표준 17 4" xfId="2038"/>
    <cellStyle name="표준 17 40" xfId="2039"/>
    <cellStyle name="표준 17 41" xfId="2040"/>
    <cellStyle name="표준 17 42" xfId="2041"/>
    <cellStyle name="표준 17 43" xfId="2042"/>
    <cellStyle name="표준 17 44" xfId="2043"/>
    <cellStyle name="표준 17 45" xfId="2044"/>
    <cellStyle name="표준 17 46" xfId="2045"/>
    <cellStyle name="표준 17 47" xfId="2046"/>
    <cellStyle name="표준 17 48" xfId="2047"/>
    <cellStyle name="표준 17 49" xfId="2048"/>
    <cellStyle name="표준 17 5" xfId="2049"/>
    <cellStyle name="표준 17 50" xfId="2050"/>
    <cellStyle name="표준 17 51" xfId="2051"/>
    <cellStyle name="표준 17 52" xfId="2052"/>
    <cellStyle name="표준 17 53" xfId="2053"/>
    <cellStyle name="표준 17 54" xfId="2054"/>
    <cellStyle name="표준 17 55" xfId="2055"/>
    <cellStyle name="표준 17 56" xfId="2056"/>
    <cellStyle name="표준 17 57" xfId="2057"/>
    <cellStyle name="표준 17 58" xfId="2058"/>
    <cellStyle name="표준 17 59" xfId="2059"/>
    <cellStyle name="표준 17 6" xfId="2060"/>
    <cellStyle name="표준 17 60" xfId="2061"/>
    <cellStyle name="표준 17 61" xfId="2062"/>
    <cellStyle name="표준 17 62" xfId="2063"/>
    <cellStyle name="표준 17 63" xfId="2064"/>
    <cellStyle name="표준 17 64" xfId="2065"/>
    <cellStyle name="표준 17 65" xfId="2066"/>
    <cellStyle name="표준 17 66" xfId="2067"/>
    <cellStyle name="표준 17 67" xfId="2068"/>
    <cellStyle name="표준 17 68" xfId="2069"/>
    <cellStyle name="표준 17 69" xfId="2070"/>
    <cellStyle name="표준 17 7" xfId="2071"/>
    <cellStyle name="표준 17 70" xfId="2072"/>
    <cellStyle name="표준 17 71" xfId="2073"/>
    <cellStyle name="표준 17 72" xfId="2074"/>
    <cellStyle name="표준 17 73" xfId="2075"/>
    <cellStyle name="표준 17 74" xfId="2076"/>
    <cellStyle name="표준 17 75" xfId="2077"/>
    <cellStyle name="표준 17 76" xfId="2078"/>
    <cellStyle name="표준 17 77" xfId="2079"/>
    <cellStyle name="표준 17 78" xfId="2080"/>
    <cellStyle name="표준 17 79" xfId="2081"/>
    <cellStyle name="표준 17 8" xfId="2082"/>
    <cellStyle name="표준 17 80" xfId="2083"/>
    <cellStyle name="표준 17 81" xfId="2084"/>
    <cellStyle name="표준 17 82" xfId="2085"/>
    <cellStyle name="표준 17 83" xfId="2086"/>
    <cellStyle name="표준 17 84" xfId="2087"/>
    <cellStyle name="표준 17 85" xfId="2088"/>
    <cellStyle name="표준 17 86" xfId="2089"/>
    <cellStyle name="표준 17 87" xfId="2090"/>
    <cellStyle name="표준 17 88" xfId="2091"/>
    <cellStyle name="표준 17 89" xfId="2092"/>
    <cellStyle name="표준 17 9" xfId="2093"/>
    <cellStyle name="표준 17 90" xfId="2094"/>
    <cellStyle name="표준 17 91" xfId="2095"/>
    <cellStyle name="표준 17 92" xfId="2096"/>
    <cellStyle name="표준 17 93" xfId="2097"/>
    <cellStyle name="표준 17 94" xfId="2098"/>
    <cellStyle name="표준 17 95" xfId="2099"/>
    <cellStyle name="표준 17 96" xfId="2100"/>
    <cellStyle name="표준 17 97" xfId="2101"/>
    <cellStyle name="표준 17 98" xfId="2102"/>
    <cellStyle name="표준 17 99" xfId="2103"/>
    <cellStyle name="표준 171" xfId="2104"/>
    <cellStyle name="표준 18" xfId="2105"/>
    <cellStyle name="표준 18 10" xfId="2106"/>
    <cellStyle name="표준 18 11" xfId="2107"/>
    <cellStyle name="표준 18 12" xfId="2108"/>
    <cellStyle name="표준 18 13" xfId="2109"/>
    <cellStyle name="표준 18 14" xfId="2110"/>
    <cellStyle name="표준 18 15" xfId="2111"/>
    <cellStyle name="표준 18 16" xfId="2112"/>
    <cellStyle name="표준 18 17" xfId="2113"/>
    <cellStyle name="표준 18 18" xfId="2114"/>
    <cellStyle name="표준 18 19" xfId="2115"/>
    <cellStyle name="표준 18 2" xfId="2116"/>
    <cellStyle name="표준 18 2 10" xfId="2117"/>
    <cellStyle name="표준 18 2 11" xfId="2118"/>
    <cellStyle name="표준 18 2 12" xfId="2119"/>
    <cellStyle name="표준 18 2 13" xfId="2120"/>
    <cellStyle name="표준 18 2 14" xfId="2121"/>
    <cellStyle name="표준 18 2 15" xfId="2122"/>
    <cellStyle name="표준 18 2 16" xfId="2123"/>
    <cellStyle name="표준 18 2 17" xfId="2124"/>
    <cellStyle name="표준 18 2 2" xfId="2125"/>
    <cellStyle name="표준 18 2 2 10" xfId="2126"/>
    <cellStyle name="표준 18 2 2 11" xfId="2127"/>
    <cellStyle name="표준 18 2 2 12" xfId="2128"/>
    <cellStyle name="표준 18 2 2 13" xfId="2129"/>
    <cellStyle name="표준 18 2 2 14" xfId="2130"/>
    <cellStyle name="표준 18 2 2 15" xfId="2131"/>
    <cellStyle name="표준 18 2 2 16" xfId="2132"/>
    <cellStyle name="표준 18 2 2 2" xfId="2133"/>
    <cellStyle name="표준 18 2 2 2 2" xfId="2134"/>
    <cellStyle name="표준 18 2 2 2 3" xfId="2135"/>
    <cellStyle name="표준 18 2 2 3" xfId="2136"/>
    <cellStyle name="표준 18 2 2 3 2" xfId="2137"/>
    <cellStyle name="표준 18 2 2 3 3" xfId="2138"/>
    <cellStyle name="표준 18 2 2 4" xfId="2139"/>
    <cellStyle name="표준 18 2 2 5" xfId="2140"/>
    <cellStyle name="표준 18 2 2 6" xfId="2141"/>
    <cellStyle name="표준 18 2 2 7" xfId="2142"/>
    <cellStyle name="표준 18 2 2 8" xfId="2143"/>
    <cellStyle name="표준 18 2 2 9" xfId="2144"/>
    <cellStyle name="표준 18 2 3" xfId="2145"/>
    <cellStyle name="표준 18 2 3 2" xfId="2146"/>
    <cellStyle name="표준 18 2 3 3" xfId="2147"/>
    <cellStyle name="표준 18 2 4" xfId="2148"/>
    <cellStyle name="표준 18 2 4 2" xfId="2149"/>
    <cellStyle name="표준 18 2 4 3" xfId="2150"/>
    <cellStyle name="표준 18 2 5" xfId="2151"/>
    <cellStyle name="표준 18 2 6" xfId="2152"/>
    <cellStyle name="표준 18 2 7" xfId="2153"/>
    <cellStyle name="표준 18 2 8" xfId="2154"/>
    <cellStyle name="표준 18 2 9" xfId="2155"/>
    <cellStyle name="표준 18 20" xfId="2156"/>
    <cellStyle name="표준 18 21" xfId="2157"/>
    <cellStyle name="표준 18 3" xfId="2158"/>
    <cellStyle name="표준 18 3 10" xfId="2159"/>
    <cellStyle name="표준 18 3 11" xfId="2160"/>
    <cellStyle name="표준 18 3 12" xfId="2161"/>
    <cellStyle name="표준 18 3 13" xfId="2162"/>
    <cellStyle name="표준 18 3 14" xfId="2163"/>
    <cellStyle name="표준 18 3 15" xfId="2164"/>
    <cellStyle name="표준 18 3 16" xfId="2165"/>
    <cellStyle name="표준 18 3 17" xfId="2166"/>
    <cellStyle name="표준 18 3 2" xfId="2167"/>
    <cellStyle name="표준 18 3 2 10" xfId="2168"/>
    <cellStyle name="표준 18 3 2 11" xfId="2169"/>
    <cellStyle name="표준 18 3 2 12" xfId="2170"/>
    <cellStyle name="표준 18 3 2 13" xfId="2171"/>
    <cellStyle name="표준 18 3 2 14" xfId="2172"/>
    <cellStyle name="표준 18 3 2 15" xfId="2173"/>
    <cellStyle name="표준 18 3 2 16" xfId="2174"/>
    <cellStyle name="표준 18 3 2 2" xfId="2175"/>
    <cellStyle name="표준 18 3 2 2 2" xfId="2176"/>
    <cellStyle name="표준 18 3 2 2 3" xfId="2177"/>
    <cellStyle name="표준 18 3 2 3" xfId="2178"/>
    <cellStyle name="표준 18 3 2 3 2" xfId="2179"/>
    <cellStyle name="표준 18 3 2 3 3" xfId="2180"/>
    <cellStyle name="표준 18 3 2 4" xfId="2181"/>
    <cellStyle name="표준 18 3 2 5" xfId="2182"/>
    <cellStyle name="표준 18 3 2 6" xfId="2183"/>
    <cellStyle name="표준 18 3 2 7" xfId="2184"/>
    <cellStyle name="표준 18 3 2 8" xfId="2185"/>
    <cellStyle name="표준 18 3 2 9" xfId="2186"/>
    <cellStyle name="표준 18 3 3" xfId="2187"/>
    <cellStyle name="표준 18 3 3 2" xfId="2188"/>
    <cellStyle name="표준 18 3 3 3" xfId="2189"/>
    <cellStyle name="표준 18 3 4" xfId="2190"/>
    <cellStyle name="표준 18 3 4 2" xfId="2191"/>
    <cellStyle name="표준 18 3 4 3" xfId="2192"/>
    <cellStyle name="표준 18 3 5" xfId="2193"/>
    <cellStyle name="표준 18 3 6" xfId="2194"/>
    <cellStyle name="표준 18 3 7" xfId="2195"/>
    <cellStyle name="표준 18 3 8" xfId="2196"/>
    <cellStyle name="표준 18 3 9" xfId="2197"/>
    <cellStyle name="표준 18 4" xfId="2198"/>
    <cellStyle name="표준 18 4 10" xfId="2199"/>
    <cellStyle name="표준 18 4 11" xfId="2200"/>
    <cellStyle name="표준 18 4 12" xfId="2201"/>
    <cellStyle name="표준 18 4 13" xfId="2202"/>
    <cellStyle name="표준 18 4 14" xfId="2203"/>
    <cellStyle name="표준 18 4 15" xfId="2204"/>
    <cellStyle name="표준 18 4 16" xfId="2205"/>
    <cellStyle name="표준 18 4 2" xfId="2206"/>
    <cellStyle name="표준 18 4 2 2" xfId="2207"/>
    <cellStyle name="표준 18 4 2 3" xfId="2208"/>
    <cellStyle name="표준 18 4 3" xfId="2209"/>
    <cellStyle name="표준 18 4 3 2" xfId="2210"/>
    <cellStyle name="표준 18 4 3 3" xfId="2211"/>
    <cellStyle name="표준 18 4 4" xfId="2212"/>
    <cellStyle name="표준 18 4 5" xfId="2213"/>
    <cellStyle name="표준 18 4 6" xfId="2214"/>
    <cellStyle name="표준 18 4 7" xfId="2215"/>
    <cellStyle name="표준 18 4 8" xfId="2216"/>
    <cellStyle name="표준 18 4 9" xfId="2217"/>
    <cellStyle name="표준 18 5" xfId="2218"/>
    <cellStyle name="표준 18 5 2" xfId="2219"/>
    <cellStyle name="표준 18 5 2 2" xfId="2220"/>
    <cellStyle name="표준 18 5 2 2 2" xfId="2221"/>
    <cellStyle name="표준 18 5 2 2 3" xfId="2222"/>
    <cellStyle name="표준 18 5 2 3" xfId="2223"/>
    <cellStyle name="표준 18 5 3" xfId="2224"/>
    <cellStyle name="표준 18 5 4" xfId="2225"/>
    <cellStyle name="표준 18 6" xfId="2226"/>
    <cellStyle name="표준 18 6 2" xfId="2227"/>
    <cellStyle name="표준 18 6 2 2" xfId="2228"/>
    <cellStyle name="표준 18 6 2 3" xfId="2229"/>
    <cellStyle name="표준 18 6 3" xfId="2230"/>
    <cellStyle name="표준 18 7" xfId="2231"/>
    <cellStyle name="표준 18 8" xfId="2232"/>
    <cellStyle name="표준 18 9" xfId="2233"/>
    <cellStyle name="표준 19" xfId="2234"/>
    <cellStyle name="표준 19 10" xfId="2235"/>
    <cellStyle name="표준 19 11" xfId="2236"/>
    <cellStyle name="표준 19 12" xfId="2237"/>
    <cellStyle name="표준 19 13" xfId="2238"/>
    <cellStyle name="표준 19 14" xfId="2239"/>
    <cellStyle name="표준 19 15" xfId="2240"/>
    <cellStyle name="표준 19 16" xfId="2241"/>
    <cellStyle name="표준 19 17" xfId="2242"/>
    <cellStyle name="표준 19 18" xfId="2243"/>
    <cellStyle name="표준 19 19" xfId="2244"/>
    <cellStyle name="표준 19 2" xfId="2245"/>
    <cellStyle name="표준 19 2 2" xfId="2246"/>
    <cellStyle name="표준 19 2 3" xfId="2247"/>
    <cellStyle name="표준 19 2 4" xfId="2248"/>
    <cellStyle name="표준 19 3" xfId="2249"/>
    <cellStyle name="표준 19 4" xfId="2250"/>
    <cellStyle name="표준 19 5" xfId="2251"/>
    <cellStyle name="표준 19 6" xfId="2252"/>
    <cellStyle name="표준 19 7" xfId="2253"/>
    <cellStyle name="표준 19 8" xfId="2254"/>
    <cellStyle name="표준 19 9" xfId="2255"/>
    <cellStyle name="표준 2" xfId="2256"/>
    <cellStyle name="표준 2 10" xfId="5"/>
    <cellStyle name="표준 2 11" xfId="2257"/>
    <cellStyle name="표준 2 12" xfId="2258"/>
    <cellStyle name="표준 2 13" xfId="2259"/>
    <cellStyle name="표준 2 14" xfId="2260"/>
    <cellStyle name="표준 2 15" xfId="2261"/>
    <cellStyle name="표준 2 16" xfId="2262"/>
    <cellStyle name="표준 2 17" xfId="2263"/>
    <cellStyle name="표준 2 18" xfId="2264"/>
    <cellStyle name="표준 2 19" xfId="2265"/>
    <cellStyle name="표준 2 2" xfId="2266"/>
    <cellStyle name="표준 2 2 10" xfId="2267"/>
    <cellStyle name="표준 2 2 11" xfId="2268"/>
    <cellStyle name="표준 2 2 12" xfId="2269"/>
    <cellStyle name="표준 2 2 13" xfId="2270"/>
    <cellStyle name="표준 2 2 14" xfId="2271"/>
    <cellStyle name="표준 2 2 15" xfId="2272"/>
    <cellStyle name="표준 2 2 16" xfId="2273"/>
    <cellStyle name="표준 2 2 17" xfId="2274"/>
    <cellStyle name="표준 2 2 18" xfId="2275"/>
    <cellStyle name="표준 2 2 19" xfId="2276"/>
    <cellStyle name="표준 2 2 2" xfId="2277"/>
    <cellStyle name="표준 2 2 2 2" xfId="2278"/>
    <cellStyle name="표준 2 2 2 2 2" xfId="2279"/>
    <cellStyle name="표준 2 2 2 2 3" xfId="2280"/>
    <cellStyle name="표준 2 2 2 2 4" xfId="2281"/>
    <cellStyle name="표준 2 2 2 2 5" xfId="2282"/>
    <cellStyle name="표준 2 2 2 3" xfId="2283"/>
    <cellStyle name="표준 2 2 2 4" xfId="2284"/>
    <cellStyle name="표준 2 2 2 5" xfId="2285"/>
    <cellStyle name="표준 2 2 2 6" xfId="2286"/>
    <cellStyle name="표준 2 2 2 7" xfId="2287"/>
    <cellStyle name="표준 2 2 3" xfId="2288"/>
    <cellStyle name="표준 2 2 3 2" xfId="2289"/>
    <cellStyle name="표준 2 2 3 3" xfId="2290"/>
    <cellStyle name="표준 2 2 3 4" xfId="2291"/>
    <cellStyle name="표준 2 2 3 5" xfId="2292"/>
    <cellStyle name="표준 2 2 4" xfId="2293"/>
    <cellStyle name="표준 2 2 4 2" xfId="2294"/>
    <cellStyle name="표준 2 2 4 3" xfId="2295"/>
    <cellStyle name="표준 2 2 4 4" xfId="2296"/>
    <cellStyle name="표준 2 2 4 5" xfId="2297"/>
    <cellStyle name="표준 2 2 5" xfId="2298"/>
    <cellStyle name="표준 2 2 6" xfId="2299"/>
    <cellStyle name="표준 2 2 7" xfId="2300"/>
    <cellStyle name="표준 2 2 8" xfId="2301"/>
    <cellStyle name="표준 2 2 9" xfId="2302"/>
    <cellStyle name="표준 2 20" xfId="2303"/>
    <cellStyle name="표준 2 21" xfId="2304"/>
    <cellStyle name="표준 2 3" xfId="2305"/>
    <cellStyle name="표준 2 3 10" xfId="2306"/>
    <cellStyle name="표준 2 3 11" xfId="2307"/>
    <cellStyle name="표준 2 3 12" xfId="2308"/>
    <cellStyle name="표준 2 3 13" xfId="2309"/>
    <cellStyle name="표준 2 3 14" xfId="2310"/>
    <cellStyle name="표준 2 3 15" xfId="2311"/>
    <cellStyle name="표준 2 3 16" xfId="2312"/>
    <cellStyle name="표준 2 3 17" xfId="2313"/>
    <cellStyle name="표준 2 3 18" xfId="2314"/>
    <cellStyle name="표준 2 3 19" xfId="2315"/>
    <cellStyle name="표준 2 3 2" xfId="2316"/>
    <cellStyle name="표준 2 3 2 2" xfId="2317"/>
    <cellStyle name="표준 2 3 2 3" xfId="2318"/>
    <cellStyle name="표준 2 3 2 4" xfId="2319"/>
    <cellStyle name="표준 2 3 3" xfId="2320"/>
    <cellStyle name="표준 2 3 4" xfId="2321"/>
    <cellStyle name="표준 2 3 5" xfId="2322"/>
    <cellStyle name="표준 2 3 6" xfId="2323"/>
    <cellStyle name="표준 2 3 7" xfId="2324"/>
    <cellStyle name="표준 2 3 8" xfId="2325"/>
    <cellStyle name="표준 2 3 9" xfId="2326"/>
    <cellStyle name="표준 2 4" xfId="2327"/>
    <cellStyle name="표준 2 4 10" xfId="2328"/>
    <cellStyle name="표준 2 4 11" xfId="2329"/>
    <cellStyle name="표준 2 4 12" xfId="2330"/>
    <cellStyle name="표준 2 4 13" xfId="2331"/>
    <cellStyle name="표준 2 4 2" xfId="2332"/>
    <cellStyle name="표준 2 4 2 2" xfId="2333"/>
    <cellStyle name="표준 2 4 2 3" xfId="2334"/>
    <cellStyle name="표준 2 4 2 4" xfId="2335"/>
    <cellStyle name="표준 2 4 3" xfId="2336"/>
    <cellStyle name="표준 2 4 4" xfId="2337"/>
    <cellStyle name="표준 2 4 5" xfId="2338"/>
    <cellStyle name="표준 2 4 6" xfId="2339"/>
    <cellStyle name="표준 2 4 7" xfId="2340"/>
    <cellStyle name="표준 2 4 8" xfId="2341"/>
    <cellStyle name="표준 2 4 9" xfId="2342"/>
    <cellStyle name="표준 2 5" xfId="2343"/>
    <cellStyle name="표준 2 5 10" xfId="2344"/>
    <cellStyle name="표준 2 5 11" xfId="2345"/>
    <cellStyle name="표준 2 5 12" xfId="2346"/>
    <cellStyle name="표준 2 5 13" xfId="2347"/>
    <cellStyle name="표준 2 5 2" xfId="2348"/>
    <cellStyle name="표준 2 5 2 2" xfId="2349"/>
    <cellStyle name="표준 2 5 2 3" xfId="2350"/>
    <cellStyle name="표준 2 5 2 4" xfId="2351"/>
    <cellStyle name="표준 2 5 3" xfId="2352"/>
    <cellStyle name="표준 2 5 4" xfId="2353"/>
    <cellStyle name="표준 2 5 5" xfId="2354"/>
    <cellStyle name="표준 2 5 6" xfId="2355"/>
    <cellStyle name="표준 2 5 7" xfId="2356"/>
    <cellStyle name="표준 2 5 8" xfId="2357"/>
    <cellStyle name="표준 2 5 9" xfId="2358"/>
    <cellStyle name="표준 2 6" xfId="2359"/>
    <cellStyle name="표준 2 6 10" xfId="2360"/>
    <cellStyle name="표준 2 6 11" xfId="2361"/>
    <cellStyle name="표준 2 6 12" xfId="2362"/>
    <cellStyle name="표준 2 6 13" xfId="2363"/>
    <cellStyle name="표준 2 6 2" xfId="2364"/>
    <cellStyle name="표준 2 6 2 2" xfId="2365"/>
    <cellStyle name="표준 2 6 2 3" xfId="2366"/>
    <cellStyle name="표준 2 6 2 4" xfId="2367"/>
    <cellStyle name="표준 2 6 3" xfId="2368"/>
    <cellStyle name="표준 2 6 4" xfId="2369"/>
    <cellStyle name="표준 2 6 5" xfId="2370"/>
    <cellStyle name="표준 2 6 6" xfId="2371"/>
    <cellStyle name="표준 2 6 7" xfId="2372"/>
    <cellStyle name="표준 2 6 8" xfId="2373"/>
    <cellStyle name="표준 2 6 9" xfId="2374"/>
    <cellStyle name="표준 2 7" xfId="2375"/>
    <cellStyle name="표준 2 7 2" xfId="2376"/>
    <cellStyle name="표준 2 7 2 2" xfId="2377"/>
    <cellStyle name="표준 2 7 3" xfId="2378"/>
    <cellStyle name="표준 2 7 4" xfId="2379"/>
    <cellStyle name="표준 2 7 5" xfId="2380"/>
    <cellStyle name="표준 2 7 6" xfId="2381"/>
    <cellStyle name="표준 2 7 7" xfId="2382"/>
    <cellStyle name="표준 2 7 8" xfId="2383"/>
    <cellStyle name="표준 2 8" xfId="2384"/>
    <cellStyle name="표준 2 9" xfId="2385"/>
    <cellStyle name="표준 20" xfId="2386"/>
    <cellStyle name="표준 20 10" xfId="2387"/>
    <cellStyle name="표준 20 11" xfId="2388"/>
    <cellStyle name="표준 20 12" xfId="2389"/>
    <cellStyle name="표준 20 13" xfId="2390"/>
    <cellStyle name="표준 20 14" xfId="2391"/>
    <cellStyle name="표준 20 15" xfId="2392"/>
    <cellStyle name="표준 20 16" xfId="2393"/>
    <cellStyle name="표준 20 17" xfId="2394"/>
    <cellStyle name="표준 20 18" xfId="2395"/>
    <cellStyle name="표준 20 19" xfId="2396"/>
    <cellStyle name="표준 20 2" xfId="2397"/>
    <cellStyle name="표준 20 2 10" xfId="2398"/>
    <cellStyle name="표준 20 2 11" xfId="2399"/>
    <cellStyle name="표준 20 2 12" xfId="2400"/>
    <cellStyle name="표준 20 2 13" xfId="2401"/>
    <cellStyle name="표준 20 2 14" xfId="2402"/>
    <cellStyle name="표준 20 2 15" xfId="2403"/>
    <cellStyle name="표준 20 2 16" xfId="2404"/>
    <cellStyle name="표준 20 2 2" xfId="2405"/>
    <cellStyle name="표준 20 2 2 2" xfId="2406"/>
    <cellStyle name="표준 20 2 2 3" xfId="2407"/>
    <cellStyle name="표준 20 2 3" xfId="2408"/>
    <cellStyle name="표준 20 2 3 2" xfId="2409"/>
    <cellStyle name="표준 20 2 3 3" xfId="2410"/>
    <cellStyle name="표준 20 2 4" xfId="2411"/>
    <cellStyle name="표준 20 2 5" xfId="2412"/>
    <cellStyle name="표준 20 2 6" xfId="2413"/>
    <cellStyle name="표준 20 2 7" xfId="2414"/>
    <cellStyle name="표준 20 2 8" xfId="2415"/>
    <cellStyle name="표준 20 2 9" xfId="2416"/>
    <cellStyle name="표준 20 3" xfId="2417"/>
    <cellStyle name="표준 20 3 2" xfId="2418"/>
    <cellStyle name="표준 20 3 2 2" xfId="2419"/>
    <cellStyle name="표준 20 3 2 2 2" xfId="2420"/>
    <cellStyle name="표준 20 3 2 2 3" xfId="2421"/>
    <cellStyle name="표준 20 3 2 3" xfId="2422"/>
    <cellStyle name="표준 20 3 3" xfId="2423"/>
    <cellStyle name="표준 20 3 4" xfId="2424"/>
    <cellStyle name="표준 20 4" xfId="2425"/>
    <cellStyle name="표준 20 4 2" xfId="2426"/>
    <cellStyle name="표준 20 4 2 2" xfId="2427"/>
    <cellStyle name="표준 20 4 2 3" xfId="2428"/>
    <cellStyle name="표준 20 4 3" xfId="2429"/>
    <cellStyle name="표준 20 5" xfId="2430"/>
    <cellStyle name="표준 20 6" xfId="2431"/>
    <cellStyle name="표준 20 7" xfId="2432"/>
    <cellStyle name="표준 20 8" xfId="2433"/>
    <cellStyle name="표준 20 9" xfId="2434"/>
    <cellStyle name="표준 21" xfId="2435"/>
    <cellStyle name="표준 21 10" xfId="2436"/>
    <cellStyle name="표준 21 11" xfId="2437"/>
    <cellStyle name="표준 21 12" xfId="2438"/>
    <cellStyle name="표준 21 13" xfId="2439"/>
    <cellStyle name="표준 21 14" xfId="2440"/>
    <cellStyle name="표준 21 15" xfId="2441"/>
    <cellStyle name="표준 21 16" xfId="2442"/>
    <cellStyle name="표준 21 17" xfId="2443"/>
    <cellStyle name="표준 21 2" xfId="2444"/>
    <cellStyle name="표준 21 2 10" xfId="2445"/>
    <cellStyle name="표준 21 2 11" xfId="2446"/>
    <cellStyle name="표준 21 2 12" xfId="2447"/>
    <cellStyle name="표준 21 2 13" xfId="2448"/>
    <cellStyle name="표준 21 2 14" xfId="2449"/>
    <cellStyle name="표준 21 2 15" xfId="2450"/>
    <cellStyle name="표준 21 2 16" xfId="2451"/>
    <cellStyle name="표준 21 2 2" xfId="2452"/>
    <cellStyle name="표준 21 2 2 2" xfId="2453"/>
    <cellStyle name="표준 21 2 2 3" xfId="2454"/>
    <cellStyle name="표준 21 2 3" xfId="2455"/>
    <cellStyle name="표준 21 2 3 2" xfId="2456"/>
    <cellStyle name="표준 21 2 3 3" xfId="2457"/>
    <cellStyle name="표준 21 2 4" xfId="2458"/>
    <cellStyle name="표준 21 2 5" xfId="2459"/>
    <cellStyle name="표준 21 2 6" xfId="2460"/>
    <cellStyle name="표준 21 2 7" xfId="2461"/>
    <cellStyle name="표준 21 2 8" xfId="2462"/>
    <cellStyle name="표준 21 2 9" xfId="2463"/>
    <cellStyle name="표준 21 3" xfId="2464"/>
    <cellStyle name="표준 21 3 2" xfId="2465"/>
    <cellStyle name="표준 21 3 3" xfId="2466"/>
    <cellStyle name="표준 21 4" xfId="2467"/>
    <cellStyle name="표준 21 4 2" xfId="2468"/>
    <cellStyle name="표준 21 4 3" xfId="2469"/>
    <cellStyle name="표준 21 5" xfId="2470"/>
    <cellStyle name="표준 21 6" xfId="2471"/>
    <cellStyle name="표준 21 7" xfId="2472"/>
    <cellStyle name="표준 21 8" xfId="2473"/>
    <cellStyle name="표준 21 9" xfId="2474"/>
    <cellStyle name="표준 22" xfId="2475"/>
    <cellStyle name="표준 22 10" xfId="2476"/>
    <cellStyle name="표준 22 11" xfId="2477"/>
    <cellStyle name="표준 22 12" xfId="2478"/>
    <cellStyle name="표준 22 13" xfId="2479"/>
    <cellStyle name="표준 22 14" xfId="2480"/>
    <cellStyle name="표준 22 15" xfId="2481"/>
    <cellStyle name="표준 22 16" xfId="2482"/>
    <cellStyle name="표준 22 17" xfId="2483"/>
    <cellStyle name="표준 22 18" xfId="2484"/>
    <cellStyle name="표준 22 19" xfId="2485"/>
    <cellStyle name="표준 22 2" xfId="2486"/>
    <cellStyle name="표준 22 2 2" xfId="2487"/>
    <cellStyle name="표준 22 2 2 2" xfId="2488"/>
    <cellStyle name="표준 22 2 2 2 2" xfId="2489"/>
    <cellStyle name="표준 22 2 2 2 3" xfId="2490"/>
    <cellStyle name="표준 22 2 2 3" xfId="2491"/>
    <cellStyle name="표준 22 2 3" xfId="2492"/>
    <cellStyle name="표준 22 2 4" xfId="2493"/>
    <cellStyle name="표준 22 3" xfId="2494"/>
    <cellStyle name="표준 22 3 2" xfId="2495"/>
    <cellStyle name="표준 22 3 2 2" xfId="2496"/>
    <cellStyle name="표준 22 3 2 3" xfId="2497"/>
    <cellStyle name="표준 22 3 3" xfId="2498"/>
    <cellStyle name="표준 22 4" xfId="2499"/>
    <cellStyle name="표준 22 5" xfId="2500"/>
    <cellStyle name="표준 22 6" xfId="2501"/>
    <cellStyle name="표준 22 7" xfId="2502"/>
    <cellStyle name="표준 22 8" xfId="2503"/>
    <cellStyle name="표준 22 9" xfId="2504"/>
    <cellStyle name="표준 23" xfId="2505"/>
    <cellStyle name="표준 23 2" xfId="2506"/>
    <cellStyle name="표준 23 3" xfId="2507"/>
    <cellStyle name="표준 23 4" xfId="2508"/>
    <cellStyle name="표준 23 5" xfId="2509"/>
    <cellStyle name="표준 24" xfId="2510"/>
    <cellStyle name="표준 24 2" xfId="2511"/>
    <cellStyle name="표준 24 3" xfId="2512"/>
    <cellStyle name="표준 24 4" xfId="2513"/>
    <cellStyle name="표준 24 5" xfId="2514"/>
    <cellStyle name="표준 24 6" xfId="2515"/>
    <cellStyle name="표준 25" xfId="2516"/>
    <cellStyle name="표준 26" xfId="2517"/>
    <cellStyle name="표준 27" xfId="2518"/>
    <cellStyle name="표준 28" xfId="2519"/>
    <cellStyle name="표준 29" xfId="2520"/>
    <cellStyle name="표준 29 2" xfId="2521"/>
    <cellStyle name="표준 29 3" xfId="2522"/>
    <cellStyle name="표준 29 4" xfId="2523"/>
    <cellStyle name="표준 3" xfId="2524"/>
    <cellStyle name="표준 3 10" xfId="2525"/>
    <cellStyle name="표준 3 11" xfId="2526"/>
    <cellStyle name="표준 3 12" xfId="2527"/>
    <cellStyle name="표준 3 13" xfId="2528"/>
    <cellStyle name="표준 3 14" xfId="2529"/>
    <cellStyle name="표준 3 15" xfId="2530"/>
    <cellStyle name="표준 3 16" xfId="2531"/>
    <cellStyle name="표준 3 17" xfId="2532"/>
    <cellStyle name="표준 3 18" xfId="2533"/>
    <cellStyle name="표준 3 19" xfId="2534"/>
    <cellStyle name="표준 3 2" xfId="2535"/>
    <cellStyle name="표준 3 2 10" xfId="2536"/>
    <cellStyle name="표준 3 2 11" xfId="2537"/>
    <cellStyle name="표준 3 2 12" xfId="2538"/>
    <cellStyle name="표준 3 2 13" xfId="2539"/>
    <cellStyle name="표준 3 2 14" xfId="2540"/>
    <cellStyle name="표준 3 2 15" xfId="2541"/>
    <cellStyle name="표준 3 2 16" xfId="2542"/>
    <cellStyle name="표준 3 2 17" xfId="2543"/>
    <cellStyle name="표준 3 2 18" xfId="2544"/>
    <cellStyle name="표준 3 2 19" xfId="2545"/>
    <cellStyle name="표준 3 2 2" xfId="2546"/>
    <cellStyle name="표준 3 2 20" xfId="2547"/>
    <cellStyle name="표준 3 2 21" xfId="2548"/>
    <cellStyle name="표준 3 2 22" xfId="2549"/>
    <cellStyle name="표준 3 2 23" xfId="2550"/>
    <cellStyle name="표준 3 2 24" xfId="2551"/>
    <cellStyle name="표준 3 2 3" xfId="2552"/>
    <cellStyle name="표준 3 2 4" xfId="2553"/>
    <cellStyle name="표준 3 2 4 2" xfId="2554"/>
    <cellStyle name="표준 3 2 4 3" xfId="2555"/>
    <cellStyle name="표준 3 2 4 4" xfId="2556"/>
    <cellStyle name="표준 3 2 4 5" xfId="2557"/>
    <cellStyle name="표준 3 2 5" xfId="2558"/>
    <cellStyle name="표준 3 2 6" xfId="2559"/>
    <cellStyle name="표준 3 2 6 2" xfId="2560"/>
    <cellStyle name="표준 3 2 6 3" xfId="2561"/>
    <cellStyle name="표준 3 2 6 4" xfId="2562"/>
    <cellStyle name="표준 3 2 7" xfId="2563"/>
    <cellStyle name="표준 3 2 8" xfId="2564"/>
    <cellStyle name="표준 3 2 9" xfId="2565"/>
    <cellStyle name="표준 3 2 9 2" xfId="2566"/>
    <cellStyle name="표준 3 2 9 2 2" xfId="2567"/>
    <cellStyle name="표준 3 2 9 2 3" xfId="2568"/>
    <cellStyle name="표준 3 2 9 3" xfId="2569"/>
    <cellStyle name="표준 3 20" xfId="2570"/>
    <cellStyle name="표준 3 21" xfId="2571"/>
    <cellStyle name="표준 3 22" xfId="2572"/>
    <cellStyle name="표준 3 23" xfId="2573"/>
    <cellStyle name="표준 3 24" xfId="2574"/>
    <cellStyle name="표준 3 25" xfId="2575"/>
    <cellStyle name="표준 3 26" xfId="2576"/>
    <cellStyle name="표준 3 27" xfId="2577"/>
    <cellStyle name="표준 3 3" xfId="2578"/>
    <cellStyle name="표준 3 3 2" xfId="2579"/>
    <cellStyle name="표준 3 3 2 2" xfId="2580"/>
    <cellStyle name="표준 3 3 2 3" xfId="2581"/>
    <cellStyle name="표준 3 3 2 4" xfId="2582"/>
    <cellStyle name="표준 3 3 2 5" xfId="2583"/>
    <cellStyle name="표준 3 3 3" xfId="2584"/>
    <cellStyle name="표준 3 3 4" xfId="2585"/>
    <cellStyle name="표준 3 3 5" xfId="2586"/>
    <cellStyle name="표준 3 3 6" xfId="2587"/>
    <cellStyle name="표준 3 3 7" xfId="2588"/>
    <cellStyle name="표준 3 4" xfId="2589"/>
    <cellStyle name="표준 3 4 2" xfId="2590"/>
    <cellStyle name="표준 3 4 3" xfId="2591"/>
    <cellStyle name="표준 3 4 4" xfId="2592"/>
    <cellStyle name="표준 3 4 5" xfId="2593"/>
    <cellStyle name="표준 3 5" xfId="2594"/>
    <cellStyle name="표준 3 5 2" xfId="2595"/>
    <cellStyle name="표준 3 5 3" xfId="2596"/>
    <cellStyle name="표준 3 5 4" xfId="2597"/>
    <cellStyle name="표준 3 5 5" xfId="2598"/>
    <cellStyle name="표준 3 6" xfId="2599"/>
    <cellStyle name="표준 3 6 2" xfId="2600"/>
    <cellStyle name="표준 3 6 3" xfId="2601"/>
    <cellStyle name="표준 3 6 4" xfId="2602"/>
    <cellStyle name="표준 3 6 5" xfId="2603"/>
    <cellStyle name="표준 3 7" xfId="2604"/>
    <cellStyle name="표준 3 7 2" xfId="2605"/>
    <cellStyle name="표준 3 7 3" xfId="2606"/>
    <cellStyle name="표준 3 7 4" xfId="2607"/>
    <cellStyle name="표준 3 7 5" xfId="2608"/>
    <cellStyle name="표준 3 8" xfId="2609"/>
    <cellStyle name="표준 3 9" xfId="2610"/>
    <cellStyle name="표준 30" xfId="2611"/>
    <cellStyle name="표준 30 2" xfId="2612"/>
    <cellStyle name="표준 30 3" xfId="2613"/>
    <cellStyle name="표준 30 4" xfId="2614"/>
    <cellStyle name="표준 30 5" xfId="2615"/>
    <cellStyle name="표준 31" xfId="2616"/>
    <cellStyle name="표준 31 2" xfId="2617"/>
    <cellStyle name="표준 32" xfId="2618"/>
    <cellStyle name="표준 32 10" xfId="2619"/>
    <cellStyle name="표준 32 11" xfId="2620"/>
    <cellStyle name="표준 32 12" xfId="2621"/>
    <cellStyle name="표준 32 13" xfId="2622"/>
    <cellStyle name="표준 32 14" xfId="2623"/>
    <cellStyle name="표준 32 15" xfId="2624"/>
    <cellStyle name="표준 32 16" xfId="2625"/>
    <cellStyle name="표준 32 17" xfId="2626"/>
    <cellStyle name="표준 32 18" xfId="2627"/>
    <cellStyle name="표준 32 19" xfId="2628"/>
    <cellStyle name="표준 32 2" xfId="2629"/>
    <cellStyle name="표준 32 20" xfId="2630"/>
    <cellStyle name="표준 32 21" xfId="2631"/>
    <cellStyle name="표준 32 22" xfId="2632"/>
    <cellStyle name="표준 32 23" xfId="2633"/>
    <cellStyle name="표준 32 24" xfId="2634"/>
    <cellStyle name="표준 32 25" xfId="2635"/>
    <cellStyle name="표준 32 26" xfId="2636"/>
    <cellStyle name="표준 32 27" xfId="2637"/>
    <cellStyle name="표준 32 28" xfId="2638"/>
    <cellStyle name="표준 32 29" xfId="2639"/>
    <cellStyle name="표준 32 3" xfId="2640"/>
    <cellStyle name="표준 32 30" xfId="2641"/>
    <cellStyle name="표준 32 31" xfId="2642"/>
    <cellStyle name="표준 32 32" xfId="2643"/>
    <cellStyle name="표준 32 33" xfId="2644"/>
    <cellStyle name="표준 32 34" xfId="2645"/>
    <cellStyle name="표준 32 35" xfId="2646"/>
    <cellStyle name="표준 32 36" xfId="2647"/>
    <cellStyle name="표준 32 37" xfId="2648"/>
    <cellStyle name="표준 32 38" xfId="2649"/>
    <cellStyle name="표준 32 39" xfId="2650"/>
    <cellStyle name="표준 32 4" xfId="2651"/>
    <cellStyle name="표준 32 40" xfId="2652"/>
    <cellStyle name="표준 32 41" xfId="2653"/>
    <cellStyle name="표준 32 42" xfId="2654"/>
    <cellStyle name="표준 32 43" xfId="2655"/>
    <cellStyle name="표준 32 44" xfId="2656"/>
    <cellStyle name="표준 32 45" xfId="2657"/>
    <cellStyle name="표준 32 46" xfId="2658"/>
    <cellStyle name="표준 32 47" xfId="2659"/>
    <cellStyle name="표준 32 48" xfId="2660"/>
    <cellStyle name="표준 32 49" xfId="2661"/>
    <cellStyle name="표준 32 5" xfId="2662"/>
    <cellStyle name="표준 32 50" xfId="2663"/>
    <cellStyle name="표준 32 51" xfId="2664"/>
    <cellStyle name="표준 32 52" xfId="2665"/>
    <cellStyle name="표준 32 53" xfId="2666"/>
    <cellStyle name="표준 32 54" xfId="2667"/>
    <cellStyle name="표준 32 55" xfId="2668"/>
    <cellStyle name="표준 32 56" xfId="2669"/>
    <cellStyle name="표준 32 57" xfId="2670"/>
    <cellStyle name="표준 32 58" xfId="2671"/>
    <cellStyle name="표준 32 59" xfId="2672"/>
    <cellStyle name="표준 32 6" xfId="2673"/>
    <cellStyle name="표준 32 60" xfId="2674"/>
    <cellStyle name="표준 32 61" xfId="2675"/>
    <cellStyle name="표준 32 62" xfId="2676"/>
    <cellStyle name="표준 32 63" xfId="2677"/>
    <cellStyle name="표준 32 64" xfId="2678"/>
    <cellStyle name="표준 32 65" xfId="2679"/>
    <cellStyle name="표준 32 66" xfId="2680"/>
    <cellStyle name="표준 32 67" xfId="2681"/>
    <cellStyle name="표준 32 68" xfId="2682"/>
    <cellStyle name="표준 32 69" xfId="2683"/>
    <cellStyle name="표준 32 7" xfId="2684"/>
    <cellStyle name="표준 32 70" xfId="2685"/>
    <cellStyle name="표준 32 71" xfId="2686"/>
    <cellStyle name="표준 32 72" xfId="2687"/>
    <cellStyle name="표준 32 73" xfId="2688"/>
    <cellStyle name="표준 32 74" xfId="2689"/>
    <cellStyle name="표준 32 75" xfId="2690"/>
    <cellStyle name="표준 32 76" xfId="2691"/>
    <cellStyle name="표준 32 77" xfId="2692"/>
    <cellStyle name="표준 32 8" xfId="2693"/>
    <cellStyle name="표준 32 9" xfId="2694"/>
    <cellStyle name="표준 33" xfId="2695"/>
    <cellStyle name="표준 33 10" xfId="2696"/>
    <cellStyle name="표준 33 11" xfId="2697"/>
    <cellStyle name="표준 33 12" xfId="2698"/>
    <cellStyle name="표준 33 13" xfId="2699"/>
    <cellStyle name="표준 33 14" xfId="2700"/>
    <cellStyle name="표준 33 15" xfId="2701"/>
    <cellStyle name="표준 33 16" xfId="2702"/>
    <cellStyle name="표준 33 17" xfId="2703"/>
    <cellStyle name="표준 33 18" xfId="2704"/>
    <cellStyle name="표준 33 19" xfId="2705"/>
    <cellStyle name="표준 33 2" xfId="2706"/>
    <cellStyle name="표준 33 20" xfId="2707"/>
    <cellStyle name="표준 33 21" xfId="2708"/>
    <cellStyle name="표준 33 22" xfId="2709"/>
    <cellStyle name="표준 33 23" xfId="2710"/>
    <cellStyle name="표준 33 24" xfId="2711"/>
    <cellStyle name="표준 33 25" xfId="2712"/>
    <cellStyle name="표준 33 26" xfId="2713"/>
    <cellStyle name="표준 33 27" xfId="2714"/>
    <cellStyle name="표준 33 28" xfId="2715"/>
    <cellStyle name="표준 33 29" xfId="2716"/>
    <cellStyle name="표준 33 3" xfId="2717"/>
    <cellStyle name="표준 33 30" xfId="2718"/>
    <cellStyle name="표준 33 31" xfId="2719"/>
    <cellStyle name="표준 33 32" xfId="2720"/>
    <cellStyle name="표준 33 33" xfId="2721"/>
    <cellStyle name="표준 33 34" xfId="2722"/>
    <cellStyle name="표준 33 35" xfId="2723"/>
    <cellStyle name="표준 33 36" xfId="2724"/>
    <cellStyle name="표준 33 37" xfId="2725"/>
    <cellStyle name="표준 33 38" xfId="2726"/>
    <cellStyle name="표준 33 39" xfId="2727"/>
    <cellStyle name="표준 33 4" xfId="2728"/>
    <cellStyle name="표준 33 40" xfId="2729"/>
    <cellStyle name="표준 33 41" xfId="2730"/>
    <cellStyle name="표준 33 42" xfId="2731"/>
    <cellStyle name="표준 33 43" xfId="2732"/>
    <cellStyle name="표준 33 44" xfId="2733"/>
    <cellStyle name="표준 33 45" xfId="2734"/>
    <cellStyle name="표준 33 46" xfId="2735"/>
    <cellStyle name="표준 33 47" xfId="2736"/>
    <cellStyle name="표준 33 48" xfId="2737"/>
    <cellStyle name="표준 33 49" xfId="2738"/>
    <cellStyle name="표준 33 5" xfId="2739"/>
    <cellStyle name="표준 33 50" xfId="2740"/>
    <cellStyle name="표준 33 51" xfId="2741"/>
    <cellStyle name="표준 33 52" xfId="2742"/>
    <cellStyle name="표준 33 53" xfId="2743"/>
    <cellStyle name="표준 33 54" xfId="2744"/>
    <cellStyle name="표준 33 55" xfId="2745"/>
    <cellStyle name="표준 33 56" xfId="2746"/>
    <cellStyle name="표준 33 57" xfId="2747"/>
    <cellStyle name="표준 33 58" xfId="2748"/>
    <cellStyle name="표준 33 59" xfId="2749"/>
    <cellStyle name="표준 33 6" xfId="2750"/>
    <cellStyle name="표준 33 60" xfId="2751"/>
    <cellStyle name="표준 33 61" xfId="2752"/>
    <cellStyle name="표준 33 62" xfId="2753"/>
    <cellStyle name="표준 33 63" xfId="2754"/>
    <cellStyle name="표준 33 64" xfId="2755"/>
    <cellStyle name="표준 33 65" xfId="2756"/>
    <cellStyle name="표준 33 66" xfId="2757"/>
    <cellStyle name="표준 33 67" xfId="2758"/>
    <cellStyle name="표준 33 68" xfId="2759"/>
    <cellStyle name="표준 33 69" xfId="2760"/>
    <cellStyle name="표준 33 7" xfId="2761"/>
    <cellStyle name="표준 33 70" xfId="2762"/>
    <cellStyle name="표준 33 71" xfId="2763"/>
    <cellStyle name="표준 33 72" xfId="2764"/>
    <cellStyle name="표준 33 73" xfId="2765"/>
    <cellStyle name="표준 33 74" xfId="2766"/>
    <cellStyle name="표준 33 75" xfId="2767"/>
    <cellStyle name="표준 33 76" xfId="2768"/>
    <cellStyle name="표준 33 77" xfId="2769"/>
    <cellStyle name="표준 33 8" xfId="2770"/>
    <cellStyle name="표준 33 9" xfId="2771"/>
    <cellStyle name="표준 34" xfId="2772"/>
    <cellStyle name="표준 34 10" xfId="2773"/>
    <cellStyle name="표준 34 11" xfId="2774"/>
    <cellStyle name="표준 34 12" xfId="2775"/>
    <cellStyle name="표준 34 13" xfId="2776"/>
    <cellStyle name="표준 34 14" xfId="2777"/>
    <cellStyle name="표준 34 15" xfId="2778"/>
    <cellStyle name="표준 34 16" xfId="2779"/>
    <cellStyle name="표준 34 17" xfId="2780"/>
    <cellStyle name="표준 34 18" xfId="2781"/>
    <cellStyle name="표준 34 19" xfId="2782"/>
    <cellStyle name="표준 34 2" xfId="2783"/>
    <cellStyle name="표준 34 20" xfId="2784"/>
    <cellStyle name="표준 34 21" xfId="2785"/>
    <cellStyle name="표준 34 22" xfId="2786"/>
    <cellStyle name="표준 34 23" xfId="2787"/>
    <cellStyle name="표준 34 24" xfId="2788"/>
    <cellStyle name="표준 34 25" xfId="2789"/>
    <cellStyle name="표준 34 26" xfId="2790"/>
    <cellStyle name="표준 34 27" xfId="2791"/>
    <cellStyle name="표준 34 28" xfId="2792"/>
    <cellStyle name="표준 34 29" xfId="2793"/>
    <cellStyle name="표준 34 3" xfId="2794"/>
    <cellStyle name="표준 34 30" xfId="2795"/>
    <cellStyle name="표준 34 31" xfId="2796"/>
    <cellStyle name="표준 34 32" xfId="2797"/>
    <cellStyle name="표준 34 33" xfId="2798"/>
    <cellStyle name="표준 34 34" xfId="2799"/>
    <cellStyle name="표준 34 35" xfId="2800"/>
    <cellStyle name="표준 34 36" xfId="2801"/>
    <cellStyle name="표준 34 37" xfId="2802"/>
    <cellStyle name="표준 34 38" xfId="2803"/>
    <cellStyle name="표준 34 39" xfId="2804"/>
    <cellStyle name="표준 34 4" xfId="2805"/>
    <cellStyle name="표준 34 40" xfId="2806"/>
    <cellStyle name="표준 34 41" xfId="2807"/>
    <cellStyle name="표준 34 42" xfId="2808"/>
    <cellStyle name="표준 34 43" xfId="2809"/>
    <cellStyle name="표준 34 44" xfId="2810"/>
    <cellStyle name="표준 34 45" xfId="2811"/>
    <cellStyle name="표준 34 46" xfId="2812"/>
    <cellStyle name="표준 34 47" xfId="2813"/>
    <cellStyle name="표준 34 48" xfId="2814"/>
    <cellStyle name="표준 34 49" xfId="2815"/>
    <cellStyle name="표준 34 5" xfId="2816"/>
    <cellStyle name="표준 34 50" xfId="2817"/>
    <cellStyle name="표준 34 51" xfId="2818"/>
    <cellStyle name="표준 34 52" xfId="2819"/>
    <cellStyle name="표준 34 53" xfId="2820"/>
    <cellStyle name="표준 34 54" xfId="2821"/>
    <cellStyle name="표준 34 55" xfId="2822"/>
    <cellStyle name="표준 34 56" xfId="2823"/>
    <cellStyle name="표준 34 57" xfId="2824"/>
    <cellStyle name="표준 34 58" xfId="2825"/>
    <cellStyle name="표준 34 59" xfId="2826"/>
    <cellStyle name="표준 34 6" xfId="2827"/>
    <cellStyle name="표준 34 60" xfId="2828"/>
    <cellStyle name="표준 34 61" xfId="2829"/>
    <cellStyle name="표준 34 62" xfId="2830"/>
    <cellStyle name="표준 34 63" xfId="2831"/>
    <cellStyle name="표준 34 64" xfId="2832"/>
    <cellStyle name="표준 34 65" xfId="2833"/>
    <cellStyle name="표준 34 66" xfId="2834"/>
    <cellStyle name="표준 34 67" xfId="2835"/>
    <cellStyle name="표준 34 68" xfId="2836"/>
    <cellStyle name="표준 34 69" xfId="2837"/>
    <cellStyle name="표준 34 7" xfId="2838"/>
    <cellStyle name="표준 34 70" xfId="2839"/>
    <cellStyle name="표준 34 71" xfId="2840"/>
    <cellStyle name="표준 34 72" xfId="2841"/>
    <cellStyle name="표준 34 73" xfId="2842"/>
    <cellStyle name="표준 34 74" xfId="2843"/>
    <cellStyle name="표준 34 75" xfId="2844"/>
    <cellStyle name="표준 34 76" xfId="2845"/>
    <cellStyle name="표준 34 77" xfId="2846"/>
    <cellStyle name="표준 34 8" xfId="2847"/>
    <cellStyle name="표준 34 9" xfId="2848"/>
    <cellStyle name="표준 35" xfId="2849"/>
    <cellStyle name="표준 35 2" xfId="2850"/>
    <cellStyle name="표준 36" xfId="2851"/>
    <cellStyle name="표준 36 10" xfId="2852"/>
    <cellStyle name="표준 36 11" xfId="2853"/>
    <cellStyle name="표준 36 12" xfId="2854"/>
    <cellStyle name="표준 36 13" xfId="2855"/>
    <cellStyle name="표준 36 14" xfId="2856"/>
    <cellStyle name="표준 36 15" xfId="2857"/>
    <cellStyle name="표준 36 16" xfId="2858"/>
    <cellStyle name="표준 36 17" xfId="2859"/>
    <cellStyle name="표준 36 18" xfId="2860"/>
    <cellStyle name="표준 36 19" xfId="2861"/>
    <cellStyle name="표준 36 2" xfId="2862"/>
    <cellStyle name="표준 36 20" xfId="2863"/>
    <cellStyle name="표준 36 21" xfId="2864"/>
    <cellStyle name="표준 36 22" xfId="2865"/>
    <cellStyle name="표준 36 23" xfId="2866"/>
    <cellStyle name="표준 36 24" xfId="2867"/>
    <cellStyle name="표준 36 25" xfId="2868"/>
    <cellStyle name="표준 36 26" xfId="2869"/>
    <cellStyle name="표준 36 27" xfId="2870"/>
    <cellStyle name="표준 36 28" xfId="2871"/>
    <cellStyle name="표준 36 29" xfId="2872"/>
    <cellStyle name="표준 36 3" xfId="2873"/>
    <cellStyle name="표준 36 30" xfId="2874"/>
    <cellStyle name="표준 36 31" xfId="2875"/>
    <cellStyle name="표준 36 32" xfId="2876"/>
    <cellStyle name="표준 36 33" xfId="2877"/>
    <cellStyle name="표준 36 34" xfId="2878"/>
    <cellStyle name="표준 36 35" xfId="2879"/>
    <cellStyle name="표준 36 36" xfId="2880"/>
    <cellStyle name="표준 36 37" xfId="2881"/>
    <cellStyle name="표준 36 38" xfId="2882"/>
    <cellStyle name="표준 36 39" xfId="2883"/>
    <cellStyle name="표준 36 4" xfId="2884"/>
    <cellStyle name="표준 36 40" xfId="2885"/>
    <cellStyle name="표준 36 41" xfId="2886"/>
    <cellStyle name="표준 36 42" xfId="2887"/>
    <cellStyle name="표준 36 43" xfId="2888"/>
    <cellStyle name="표준 36 44" xfId="2889"/>
    <cellStyle name="표준 36 45" xfId="2890"/>
    <cellStyle name="표준 36 46" xfId="2891"/>
    <cellStyle name="표준 36 47" xfId="2892"/>
    <cellStyle name="표준 36 48" xfId="2893"/>
    <cellStyle name="표준 36 49" xfId="2894"/>
    <cellStyle name="표준 36 5" xfId="2895"/>
    <cellStyle name="표준 36 50" xfId="2896"/>
    <cellStyle name="표준 36 51" xfId="2897"/>
    <cellStyle name="표준 36 52" xfId="2898"/>
    <cellStyle name="표준 36 53" xfId="2899"/>
    <cellStyle name="표준 36 54" xfId="2900"/>
    <cellStyle name="표준 36 55" xfId="2901"/>
    <cellStyle name="표준 36 56" xfId="2902"/>
    <cellStyle name="표준 36 57" xfId="2903"/>
    <cellStyle name="표준 36 58" xfId="2904"/>
    <cellStyle name="표준 36 59" xfId="2905"/>
    <cellStyle name="표준 36 6" xfId="2906"/>
    <cellStyle name="표준 36 60" xfId="2907"/>
    <cellStyle name="표준 36 61" xfId="2908"/>
    <cellStyle name="표준 36 62" xfId="2909"/>
    <cellStyle name="표준 36 63" xfId="2910"/>
    <cellStyle name="표준 36 64" xfId="2911"/>
    <cellStyle name="표준 36 65" xfId="2912"/>
    <cellStyle name="표준 36 66" xfId="2913"/>
    <cellStyle name="표준 36 67" xfId="2914"/>
    <cellStyle name="표준 36 68" xfId="2915"/>
    <cellStyle name="표준 36 69" xfId="2916"/>
    <cellStyle name="표준 36 7" xfId="2917"/>
    <cellStyle name="표준 36 70" xfId="2918"/>
    <cellStyle name="표준 36 71" xfId="2919"/>
    <cellStyle name="표준 36 72" xfId="2920"/>
    <cellStyle name="표준 36 73" xfId="2921"/>
    <cellStyle name="표준 36 74" xfId="2922"/>
    <cellStyle name="표준 36 75" xfId="2923"/>
    <cellStyle name="표준 36 76" xfId="2924"/>
    <cellStyle name="표준 36 77" xfId="2925"/>
    <cellStyle name="표준 36 8" xfId="2926"/>
    <cellStyle name="표준 36 9" xfId="2927"/>
    <cellStyle name="표준 37" xfId="2928"/>
    <cellStyle name="표준 37 10" xfId="2929"/>
    <cellStyle name="표준 37 11" xfId="2930"/>
    <cellStyle name="표준 37 12" xfId="2931"/>
    <cellStyle name="표준 37 13" xfId="2932"/>
    <cellStyle name="표준 37 14" xfId="2933"/>
    <cellStyle name="표준 37 15" xfId="2934"/>
    <cellStyle name="표준 37 16" xfId="2935"/>
    <cellStyle name="표준 37 17" xfId="2936"/>
    <cellStyle name="표준 37 18" xfId="2937"/>
    <cellStyle name="표준 37 19" xfId="2938"/>
    <cellStyle name="표준 37 2" xfId="2939"/>
    <cellStyle name="표준 37 20" xfId="2940"/>
    <cellStyle name="표준 37 21" xfId="2941"/>
    <cellStyle name="표준 37 22" xfId="2942"/>
    <cellStyle name="표준 37 23" xfId="2943"/>
    <cellStyle name="표준 37 24" xfId="2944"/>
    <cellStyle name="표준 37 25" xfId="2945"/>
    <cellStyle name="표준 37 26" xfId="2946"/>
    <cellStyle name="표준 37 27" xfId="2947"/>
    <cellStyle name="표준 37 28" xfId="2948"/>
    <cellStyle name="표준 37 29" xfId="2949"/>
    <cellStyle name="표준 37 3" xfId="2950"/>
    <cellStyle name="표준 37 30" xfId="2951"/>
    <cellStyle name="표준 37 31" xfId="2952"/>
    <cellStyle name="표준 37 32" xfId="2953"/>
    <cellStyle name="표준 37 33" xfId="2954"/>
    <cellStyle name="표준 37 34" xfId="2955"/>
    <cellStyle name="표준 37 35" xfId="2956"/>
    <cellStyle name="표준 37 36" xfId="2957"/>
    <cellStyle name="표준 37 37" xfId="2958"/>
    <cellStyle name="표준 37 38" xfId="2959"/>
    <cellStyle name="표준 37 39" xfId="2960"/>
    <cellStyle name="표준 37 4" xfId="2961"/>
    <cellStyle name="표준 37 40" xfId="2962"/>
    <cellStyle name="표준 37 41" xfId="2963"/>
    <cellStyle name="표준 37 42" xfId="2964"/>
    <cellStyle name="표준 37 43" xfId="2965"/>
    <cellStyle name="표준 37 44" xfId="2966"/>
    <cellStyle name="표준 37 45" xfId="2967"/>
    <cellStyle name="표준 37 46" xfId="2968"/>
    <cellStyle name="표준 37 47" xfId="2969"/>
    <cellStyle name="표준 37 48" xfId="2970"/>
    <cellStyle name="표준 37 49" xfId="2971"/>
    <cellStyle name="표준 37 5" xfId="2972"/>
    <cellStyle name="표준 37 50" xfId="2973"/>
    <cellStyle name="표준 37 51" xfId="2974"/>
    <cellStyle name="표준 37 52" xfId="2975"/>
    <cellStyle name="표준 37 53" xfId="2976"/>
    <cellStyle name="표준 37 54" xfId="2977"/>
    <cellStyle name="표준 37 55" xfId="2978"/>
    <cellStyle name="표준 37 56" xfId="2979"/>
    <cellStyle name="표준 37 57" xfId="2980"/>
    <cellStyle name="표준 37 58" xfId="2981"/>
    <cellStyle name="표준 37 59" xfId="2982"/>
    <cellStyle name="표준 37 6" xfId="2983"/>
    <cellStyle name="표준 37 60" xfId="2984"/>
    <cellStyle name="표준 37 61" xfId="2985"/>
    <cellStyle name="표준 37 62" xfId="2986"/>
    <cellStyle name="표준 37 63" xfId="2987"/>
    <cellStyle name="표준 37 64" xfId="2988"/>
    <cellStyle name="표준 37 65" xfId="2989"/>
    <cellStyle name="표준 37 66" xfId="2990"/>
    <cellStyle name="표준 37 67" xfId="2991"/>
    <cellStyle name="표준 37 68" xfId="2992"/>
    <cellStyle name="표준 37 69" xfId="2993"/>
    <cellStyle name="표준 37 7" xfId="2994"/>
    <cellStyle name="표준 37 70" xfId="2995"/>
    <cellStyle name="표준 37 71" xfId="2996"/>
    <cellStyle name="표준 37 72" xfId="2997"/>
    <cellStyle name="표준 37 73" xfId="2998"/>
    <cellStyle name="표준 37 74" xfId="2999"/>
    <cellStyle name="표준 37 75" xfId="3000"/>
    <cellStyle name="표준 37 76" xfId="3001"/>
    <cellStyle name="표준 37 77" xfId="3002"/>
    <cellStyle name="표준 37 8" xfId="3003"/>
    <cellStyle name="표준 37 9" xfId="3004"/>
    <cellStyle name="표준 38" xfId="3005"/>
    <cellStyle name="표준 38 10" xfId="3006"/>
    <cellStyle name="표준 38 11" xfId="3007"/>
    <cellStyle name="표준 38 12" xfId="3008"/>
    <cellStyle name="표준 38 13" xfId="3009"/>
    <cellStyle name="표준 38 14" xfId="3010"/>
    <cellStyle name="표준 38 15" xfId="3011"/>
    <cellStyle name="표준 38 16" xfId="3012"/>
    <cellStyle name="표준 38 17" xfId="3013"/>
    <cellStyle name="표준 38 18" xfId="3014"/>
    <cellStyle name="표준 38 19" xfId="3015"/>
    <cellStyle name="표준 38 2" xfId="3016"/>
    <cellStyle name="표준 38 20" xfId="3017"/>
    <cellStyle name="표준 38 21" xfId="3018"/>
    <cellStyle name="표준 38 22" xfId="3019"/>
    <cellStyle name="표준 38 23" xfId="3020"/>
    <cellStyle name="표준 38 24" xfId="3021"/>
    <cellStyle name="표준 38 25" xfId="3022"/>
    <cellStyle name="표준 38 26" xfId="3023"/>
    <cellStyle name="표준 38 27" xfId="3024"/>
    <cellStyle name="표준 38 28" xfId="3025"/>
    <cellStyle name="표준 38 29" xfId="3026"/>
    <cellStyle name="표준 38 3" xfId="3027"/>
    <cellStyle name="표준 38 30" xfId="3028"/>
    <cellStyle name="표준 38 31" xfId="3029"/>
    <cellStyle name="표준 38 32" xfId="3030"/>
    <cellStyle name="표준 38 33" xfId="3031"/>
    <cellStyle name="표준 38 34" xfId="3032"/>
    <cellStyle name="표준 38 35" xfId="3033"/>
    <cellStyle name="표준 38 36" xfId="3034"/>
    <cellStyle name="표준 38 37" xfId="3035"/>
    <cellStyle name="표준 38 38" xfId="3036"/>
    <cellStyle name="표준 38 39" xfId="3037"/>
    <cellStyle name="표준 38 4" xfId="3038"/>
    <cellStyle name="표준 38 40" xfId="3039"/>
    <cellStyle name="표준 38 41" xfId="3040"/>
    <cellStyle name="표준 38 42" xfId="3041"/>
    <cellStyle name="표준 38 43" xfId="3042"/>
    <cellStyle name="표준 38 44" xfId="3043"/>
    <cellStyle name="표준 38 45" xfId="3044"/>
    <cellStyle name="표준 38 46" xfId="3045"/>
    <cellStyle name="표준 38 47" xfId="3046"/>
    <cellStyle name="표준 38 48" xfId="3047"/>
    <cellStyle name="표준 38 49" xfId="3048"/>
    <cellStyle name="표준 38 5" xfId="3049"/>
    <cellStyle name="표준 38 50" xfId="3050"/>
    <cellStyle name="표준 38 51" xfId="3051"/>
    <cellStyle name="표준 38 52" xfId="3052"/>
    <cellStyle name="표준 38 53" xfId="3053"/>
    <cellStyle name="표준 38 54" xfId="3054"/>
    <cellStyle name="표준 38 55" xfId="3055"/>
    <cellStyle name="표준 38 56" xfId="3056"/>
    <cellStyle name="표준 38 57" xfId="3057"/>
    <cellStyle name="표준 38 58" xfId="3058"/>
    <cellStyle name="표준 38 59" xfId="3059"/>
    <cellStyle name="표준 38 6" xfId="3060"/>
    <cellStyle name="표준 38 60" xfId="3061"/>
    <cellStyle name="표준 38 61" xfId="3062"/>
    <cellStyle name="표준 38 62" xfId="3063"/>
    <cellStyle name="표준 38 63" xfId="3064"/>
    <cellStyle name="표준 38 64" xfId="3065"/>
    <cellStyle name="표준 38 65" xfId="3066"/>
    <cellStyle name="표준 38 66" xfId="3067"/>
    <cellStyle name="표준 38 67" xfId="3068"/>
    <cellStyle name="표준 38 68" xfId="3069"/>
    <cellStyle name="표준 38 69" xfId="3070"/>
    <cellStyle name="표준 38 7" xfId="3071"/>
    <cellStyle name="표준 38 70" xfId="3072"/>
    <cellStyle name="표준 38 71" xfId="3073"/>
    <cellStyle name="표준 38 72" xfId="3074"/>
    <cellStyle name="표준 38 73" xfId="3075"/>
    <cellStyle name="표준 38 74" xfId="3076"/>
    <cellStyle name="표준 38 75" xfId="3077"/>
    <cellStyle name="표준 38 76" xfId="3078"/>
    <cellStyle name="표준 38 77" xfId="3079"/>
    <cellStyle name="표준 38 8" xfId="3080"/>
    <cellStyle name="표준 38 9" xfId="3081"/>
    <cellStyle name="표준 39" xfId="3082"/>
    <cellStyle name="표준 39 10" xfId="3083"/>
    <cellStyle name="표준 39 11" xfId="3084"/>
    <cellStyle name="표준 39 12" xfId="3085"/>
    <cellStyle name="표준 39 13" xfId="3086"/>
    <cellStyle name="표준 39 14" xfId="3087"/>
    <cellStyle name="표준 39 15" xfId="3088"/>
    <cellStyle name="표준 39 16" xfId="3089"/>
    <cellStyle name="표준 39 17" xfId="3090"/>
    <cellStyle name="표준 39 18" xfId="3091"/>
    <cellStyle name="표준 39 19" xfId="3092"/>
    <cellStyle name="표준 39 2" xfId="3093"/>
    <cellStyle name="표준 39 20" xfId="3094"/>
    <cellStyle name="표준 39 21" xfId="3095"/>
    <cellStyle name="표준 39 22" xfId="3096"/>
    <cellStyle name="표준 39 23" xfId="3097"/>
    <cellStyle name="표준 39 24" xfId="3098"/>
    <cellStyle name="표준 39 25" xfId="3099"/>
    <cellStyle name="표준 39 26" xfId="3100"/>
    <cellStyle name="표준 39 27" xfId="3101"/>
    <cellStyle name="표준 39 28" xfId="3102"/>
    <cellStyle name="표준 39 29" xfId="3103"/>
    <cellStyle name="표준 39 3" xfId="3104"/>
    <cellStyle name="표준 39 30" xfId="3105"/>
    <cellStyle name="표준 39 31" xfId="3106"/>
    <cellStyle name="표준 39 32" xfId="3107"/>
    <cellStyle name="표준 39 33" xfId="3108"/>
    <cellStyle name="표준 39 34" xfId="3109"/>
    <cellStyle name="표준 39 35" xfId="3110"/>
    <cellStyle name="표준 39 36" xfId="3111"/>
    <cellStyle name="표준 39 37" xfId="3112"/>
    <cellStyle name="표준 39 38" xfId="3113"/>
    <cellStyle name="표준 39 39" xfId="3114"/>
    <cellStyle name="표준 39 4" xfId="3115"/>
    <cellStyle name="표준 39 40" xfId="3116"/>
    <cellStyle name="표준 39 41" xfId="3117"/>
    <cellStyle name="표준 39 42" xfId="3118"/>
    <cellStyle name="표준 39 43" xfId="3119"/>
    <cellStyle name="표준 39 44" xfId="3120"/>
    <cellStyle name="표준 39 45" xfId="3121"/>
    <cellStyle name="표준 39 46" xfId="3122"/>
    <cellStyle name="표준 39 47" xfId="3123"/>
    <cellStyle name="표준 39 48" xfId="3124"/>
    <cellStyle name="표준 39 49" xfId="3125"/>
    <cellStyle name="표준 39 5" xfId="3126"/>
    <cellStyle name="표준 39 50" xfId="3127"/>
    <cellStyle name="표준 39 51" xfId="3128"/>
    <cellStyle name="표준 39 52" xfId="3129"/>
    <cellStyle name="표준 39 53" xfId="3130"/>
    <cellStyle name="표준 39 54" xfId="3131"/>
    <cellStyle name="표준 39 55" xfId="3132"/>
    <cellStyle name="표준 39 56" xfId="3133"/>
    <cellStyle name="표준 39 57" xfId="3134"/>
    <cellStyle name="표준 39 58" xfId="3135"/>
    <cellStyle name="표준 39 59" xfId="3136"/>
    <cellStyle name="표준 39 6" xfId="3137"/>
    <cellStyle name="표준 39 60" xfId="3138"/>
    <cellStyle name="표준 39 61" xfId="3139"/>
    <cellStyle name="표준 39 62" xfId="3140"/>
    <cellStyle name="표준 39 63" xfId="3141"/>
    <cellStyle name="표준 39 64" xfId="3142"/>
    <cellStyle name="표준 39 65" xfId="3143"/>
    <cellStyle name="표준 39 66" xfId="3144"/>
    <cellStyle name="표준 39 67" xfId="3145"/>
    <cellStyle name="표준 39 68" xfId="3146"/>
    <cellStyle name="표준 39 69" xfId="3147"/>
    <cellStyle name="표준 39 7" xfId="3148"/>
    <cellStyle name="표준 39 70" xfId="3149"/>
    <cellStyle name="표준 39 71" xfId="3150"/>
    <cellStyle name="표준 39 72" xfId="3151"/>
    <cellStyle name="표준 39 73" xfId="3152"/>
    <cellStyle name="표준 39 74" xfId="3153"/>
    <cellStyle name="표준 39 75" xfId="3154"/>
    <cellStyle name="표준 39 76" xfId="3155"/>
    <cellStyle name="표준 39 77" xfId="3156"/>
    <cellStyle name="표준 39 8" xfId="3157"/>
    <cellStyle name="표준 39 9" xfId="3158"/>
    <cellStyle name="표준 4" xfId="3159"/>
    <cellStyle name="표준 4 10" xfId="3160"/>
    <cellStyle name="표준 4 11" xfId="3161"/>
    <cellStyle name="표준 4 12" xfId="3162"/>
    <cellStyle name="표준 4 2" xfId="3163"/>
    <cellStyle name="표준 4 3" xfId="3164"/>
    <cellStyle name="표준 4 4" xfId="3165"/>
    <cellStyle name="표준 4 4 10" xfId="3166"/>
    <cellStyle name="표준 4 4 11" xfId="3167"/>
    <cellStyle name="표준 4 4 12" xfId="3168"/>
    <cellStyle name="표준 4 4 13" xfId="3169"/>
    <cellStyle name="표준 4 4 14" xfId="3170"/>
    <cellStyle name="표준 4 4 15" xfId="3171"/>
    <cellStyle name="표준 4 4 16" xfId="3172"/>
    <cellStyle name="표준 4 4 17" xfId="3173"/>
    <cellStyle name="표준 4 4 18" xfId="3174"/>
    <cellStyle name="표준 4 4 19" xfId="3175"/>
    <cellStyle name="표준 4 4 2" xfId="3176"/>
    <cellStyle name="표준 4 4 2 2" xfId="3177"/>
    <cellStyle name="표준 4 4 2 3" xfId="3178"/>
    <cellStyle name="표준 4 4 2 4" xfId="3179"/>
    <cellStyle name="표준 4 4 3" xfId="3180"/>
    <cellStyle name="표준 4 4 4" xfId="3181"/>
    <cellStyle name="표준 4 4 5" xfId="3182"/>
    <cellStyle name="표준 4 4 6" xfId="3183"/>
    <cellStyle name="표준 4 4 7" xfId="3184"/>
    <cellStyle name="표준 4 4 8" xfId="3185"/>
    <cellStyle name="표준 4 4 9" xfId="3186"/>
    <cellStyle name="표준 4 5" xfId="3187"/>
    <cellStyle name="표준 4 5 10" xfId="3188"/>
    <cellStyle name="표준 4 5 11" xfId="3189"/>
    <cellStyle name="표준 4 5 12" xfId="3190"/>
    <cellStyle name="표준 4 5 13" xfId="3191"/>
    <cellStyle name="표준 4 5 14" xfId="3192"/>
    <cellStyle name="표준 4 5 15" xfId="3193"/>
    <cellStyle name="표준 4 5 16" xfId="3194"/>
    <cellStyle name="표준 4 5 17" xfId="3195"/>
    <cellStyle name="표준 4 5 18" xfId="3196"/>
    <cellStyle name="표준 4 5 19" xfId="3197"/>
    <cellStyle name="표준 4 5 2" xfId="3198"/>
    <cellStyle name="표준 4 5 2 2" xfId="3199"/>
    <cellStyle name="표준 4 5 2 3" xfId="3200"/>
    <cellStyle name="표준 4 5 2 4" xfId="3201"/>
    <cellStyle name="표준 4 5 3" xfId="3202"/>
    <cellStyle name="표준 4 5 4" xfId="3203"/>
    <cellStyle name="표준 4 5 5" xfId="3204"/>
    <cellStyle name="표준 4 5 6" xfId="3205"/>
    <cellStyle name="표준 4 5 7" xfId="3206"/>
    <cellStyle name="표준 4 5 8" xfId="3207"/>
    <cellStyle name="표준 4 5 9" xfId="3208"/>
    <cellStyle name="표준 4 6" xfId="3209"/>
    <cellStyle name="표준 4 7" xfId="3210"/>
    <cellStyle name="표준 4 8" xfId="3211"/>
    <cellStyle name="표준 4 9" xfId="3212"/>
    <cellStyle name="표준 4 9 2" xfId="3213"/>
    <cellStyle name="표준 4 9 2 2" xfId="3214"/>
    <cellStyle name="표준 40" xfId="3215"/>
    <cellStyle name="표준 40 10" xfId="3216"/>
    <cellStyle name="표준 40 11" xfId="3217"/>
    <cellStyle name="표준 40 12" xfId="3218"/>
    <cellStyle name="표준 40 13" xfId="3219"/>
    <cellStyle name="표준 40 14" xfId="3220"/>
    <cellStyle name="표준 40 15" xfId="3221"/>
    <cellStyle name="표준 40 16" xfId="3222"/>
    <cellStyle name="표준 40 17" xfId="3223"/>
    <cellStyle name="표준 40 18" xfId="3224"/>
    <cellStyle name="표준 40 19" xfId="3225"/>
    <cellStyle name="표준 40 2" xfId="3226"/>
    <cellStyle name="표준 40 20" xfId="3227"/>
    <cellStyle name="표준 40 21" xfId="3228"/>
    <cellStyle name="표준 40 22" xfId="3229"/>
    <cellStyle name="표준 40 23" xfId="3230"/>
    <cellStyle name="표준 40 24" xfId="3231"/>
    <cellStyle name="표준 40 25" xfId="3232"/>
    <cellStyle name="표준 40 26" xfId="3233"/>
    <cellStyle name="표준 40 27" xfId="3234"/>
    <cellStyle name="표준 40 28" xfId="3235"/>
    <cellStyle name="표준 40 29" xfId="3236"/>
    <cellStyle name="표준 40 3" xfId="3237"/>
    <cellStyle name="표준 40 30" xfId="3238"/>
    <cellStyle name="표준 40 31" xfId="3239"/>
    <cellStyle name="표준 40 32" xfId="3240"/>
    <cellStyle name="표준 40 33" xfId="3241"/>
    <cellStyle name="표준 40 34" xfId="3242"/>
    <cellStyle name="표준 40 35" xfId="3243"/>
    <cellStyle name="표준 40 36" xfId="3244"/>
    <cellStyle name="표준 40 37" xfId="3245"/>
    <cellStyle name="표준 40 38" xfId="3246"/>
    <cellStyle name="표준 40 39" xfId="3247"/>
    <cellStyle name="표준 40 4" xfId="3248"/>
    <cellStyle name="표준 40 40" xfId="3249"/>
    <cellStyle name="표준 40 41" xfId="3250"/>
    <cellStyle name="표준 40 42" xfId="3251"/>
    <cellStyle name="표준 40 43" xfId="3252"/>
    <cellStyle name="표준 40 44" xfId="3253"/>
    <cellStyle name="표준 40 45" xfId="3254"/>
    <cellStyle name="표준 40 46" xfId="3255"/>
    <cellStyle name="표준 40 47" xfId="3256"/>
    <cellStyle name="표준 40 48" xfId="3257"/>
    <cellStyle name="표준 40 49" xfId="3258"/>
    <cellStyle name="표준 40 5" xfId="3259"/>
    <cellStyle name="표준 40 50" xfId="3260"/>
    <cellStyle name="표준 40 51" xfId="3261"/>
    <cellStyle name="표준 40 52" xfId="3262"/>
    <cellStyle name="표준 40 53" xfId="3263"/>
    <cellStyle name="표준 40 54" xfId="3264"/>
    <cellStyle name="표준 40 55" xfId="3265"/>
    <cellStyle name="표준 40 56" xfId="3266"/>
    <cellStyle name="표준 40 57" xfId="3267"/>
    <cellStyle name="표준 40 58" xfId="3268"/>
    <cellStyle name="표준 40 59" xfId="3269"/>
    <cellStyle name="표준 40 6" xfId="3270"/>
    <cellStyle name="표준 40 60" xfId="3271"/>
    <cellStyle name="표준 40 61" xfId="3272"/>
    <cellStyle name="표준 40 62" xfId="3273"/>
    <cellStyle name="표준 40 63" xfId="3274"/>
    <cellStyle name="표준 40 64" xfId="3275"/>
    <cellStyle name="표준 40 65" xfId="3276"/>
    <cellStyle name="표준 40 66" xfId="3277"/>
    <cellStyle name="표준 40 67" xfId="3278"/>
    <cellStyle name="표준 40 68" xfId="3279"/>
    <cellStyle name="표준 40 69" xfId="3280"/>
    <cellStyle name="표준 40 7" xfId="3281"/>
    <cellStyle name="표준 40 70" xfId="3282"/>
    <cellStyle name="표준 40 71" xfId="3283"/>
    <cellStyle name="표준 40 72" xfId="3284"/>
    <cellStyle name="표준 40 73" xfId="3285"/>
    <cellStyle name="표준 40 74" xfId="3286"/>
    <cellStyle name="표준 40 75" xfId="3287"/>
    <cellStyle name="표준 40 76" xfId="3288"/>
    <cellStyle name="표준 40 77" xfId="3289"/>
    <cellStyle name="표준 40 8" xfId="3290"/>
    <cellStyle name="표준 40 9" xfId="3291"/>
    <cellStyle name="표준 41" xfId="3292"/>
    <cellStyle name="표준 41 10" xfId="3293"/>
    <cellStyle name="표준 41 11" xfId="3294"/>
    <cellStyle name="표준 41 12" xfId="3295"/>
    <cellStyle name="표준 41 13" xfId="3296"/>
    <cellStyle name="표준 41 14" xfId="3297"/>
    <cellStyle name="표준 41 15" xfId="3298"/>
    <cellStyle name="표준 41 16" xfId="3299"/>
    <cellStyle name="표준 41 17" xfId="3300"/>
    <cellStyle name="표준 41 18" xfId="3301"/>
    <cellStyle name="표준 41 19" xfId="3302"/>
    <cellStyle name="표준 41 2" xfId="3303"/>
    <cellStyle name="표준 41 20" xfId="3304"/>
    <cellStyle name="표준 41 21" xfId="3305"/>
    <cellStyle name="표준 41 22" xfId="3306"/>
    <cellStyle name="표준 41 23" xfId="3307"/>
    <cellStyle name="표준 41 24" xfId="3308"/>
    <cellStyle name="표준 41 25" xfId="3309"/>
    <cellStyle name="표준 41 26" xfId="3310"/>
    <cellStyle name="표준 41 27" xfId="3311"/>
    <cellStyle name="표준 41 28" xfId="3312"/>
    <cellStyle name="표준 41 29" xfId="3313"/>
    <cellStyle name="표준 41 3" xfId="3314"/>
    <cellStyle name="표준 41 30" xfId="3315"/>
    <cellStyle name="표준 41 31" xfId="3316"/>
    <cellStyle name="표준 41 32" xfId="3317"/>
    <cellStyle name="표준 41 33" xfId="3318"/>
    <cellStyle name="표준 41 34" xfId="3319"/>
    <cellStyle name="표준 41 35" xfId="3320"/>
    <cellStyle name="표준 41 36" xfId="3321"/>
    <cellStyle name="표준 41 37" xfId="3322"/>
    <cellStyle name="표준 41 38" xfId="3323"/>
    <cellStyle name="표준 41 39" xfId="3324"/>
    <cellStyle name="표준 41 4" xfId="3325"/>
    <cellStyle name="표준 41 40" xfId="3326"/>
    <cellStyle name="표준 41 41" xfId="3327"/>
    <cellStyle name="표준 41 42" xfId="3328"/>
    <cellStyle name="표준 41 43" xfId="3329"/>
    <cellStyle name="표준 41 44" xfId="3330"/>
    <cellStyle name="표준 41 45" xfId="3331"/>
    <cellStyle name="표준 41 46" xfId="3332"/>
    <cellStyle name="표준 41 47" xfId="3333"/>
    <cellStyle name="표준 41 48" xfId="3334"/>
    <cellStyle name="표준 41 49" xfId="3335"/>
    <cellStyle name="표준 41 5" xfId="3336"/>
    <cellStyle name="표준 41 50" xfId="3337"/>
    <cellStyle name="표준 41 51" xfId="3338"/>
    <cellStyle name="표준 41 52" xfId="3339"/>
    <cellStyle name="표준 41 53" xfId="3340"/>
    <cellStyle name="표준 41 54" xfId="3341"/>
    <cellStyle name="표준 41 55" xfId="3342"/>
    <cellStyle name="표준 41 56" xfId="3343"/>
    <cellStyle name="표준 41 57" xfId="3344"/>
    <cellStyle name="표준 41 58" xfId="3345"/>
    <cellStyle name="표준 41 59" xfId="3346"/>
    <cellStyle name="표준 41 6" xfId="3347"/>
    <cellStyle name="표준 41 60" xfId="3348"/>
    <cellStyle name="표준 41 61" xfId="3349"/>
    <cellStyle name="표준 41 62" xfId="3350"/>
    <cellStyle name="표준 41 63" xfId="3351"/>
    <cellStyle name="표준 41 64" xfId="3352"/>
    <cellStyle name="표준 41 65" xfId="3353"/>
    <cellStyle name="표준 41 66" xfId="3354"/>
    <cellStyle name="표준 41 67" xfId="3355"/>
    <cellStyle name="표준 41 68" xfId="3356"/>
    <cellStyle name="표준 41 69" xfId="3357"/>
    <cellStyle name="표준 41 7" xfId="3358"/>
    <cellStyle name="표준 41 70" xfId="3359"/>
    <cellStyle name="표준 41 71" xfId="3360"/>
    <cellStyle name="표준 41 72" xfId="3361"/>
    <cellStyle name="표준 41 73" xfId="3362"/>
    <cellStyle name="표준 41 74" xfId="3363"/>
    <cellStyle name="표준 41 75" xfId="3364"/>
    <cellStyle name="표준 41 76" xfId="3365"/>
    <cellStyle name="표준 41 77" xfId="3366"/>
    <cellStyle name="표준 41 8" xfId="3367"/>
    <cellStyle name="표준 41 9" xfId="3368"/>
    <cellStyle name="표준 42" xfId="3369"/>
    <cellStyle name="표준 42 10" xfId="3370"/>
    <cellStyle name="표준 42 11" xfId="3371"/>
    <cellStyle name="표준 42 12" xfId="3372"/>
    <cellStyle name="표준 42 13" xfId="3373"/>
    <cellStyle name="표준 42 14" xfId="3374"/>
    <cellStyle name="표준 42 15" xfId="3375"/>
    <cellStyle name="표준 42 16" xfId="3376"/>
    <cellStyle name="표준 42 17" xfId="3377"/>
    <cellStyle name="표준 42 18" xfId="3378"/>
    <cellStyle name="표준 42 19" xfId="3379"/>
    <cellStyle name="표준 42 2" xfId="3380"/>
    <cellStyle name="표준 42 20" xfId="3381"/>
    <cellStyle name="표준 42 21" xfId="3382"/>
    <cellStyle name="표준 42 22" xfId="3383"/>
    <cellStyle name="표준 42 23" xfId="3384"/>
    <cellStyle name="표준 42 24" xfId="3385"/>
    <cellStyle name="표준 42 25" xfId="3386"/>
    <cellStyle name="표준 42 26" xfId="3387"/>
    <cellStyle name="표준 42 27" xfId="3388"/>
    <cellStyle name="표준 42 28" xfId="3389"/>
    <cellStyle name="표준 42 29" xfId="3390"/>
    <cellStyle name="표준 42 3" xfId="3391"/>
    <cellStyle name="표준 42 30" xfId="3392"/>
    <cellStyle name="표준 42 31" xfId="3393"/>
    <cellStyle name="표준 42 32" xfId="3394"/>
    <cellStyle name="표준 42 33" xfId="3395"/>
    <cellStyle name="표준 42 34" xfId="3396"/>
    <cellStyle name="표준 42 35" xfId="3397"/>
    <cellStyle name="표준 42 36" xfId="3398"/>
    <cellStyle name="표준 42 37" xfId="3399"/>
    <cellStyle name="표준 42 38" xfId="3400"/>
    <cellStyle name="표준 42 39" xfId="3401"/>
    <cellStyle name="표준 42 4" xfId="3402"/>
    <cellStyle name="표준 42 40" xfId="3403"/>
    <cellStyle name="표준 42 41" xfId="3404"/>
    <cellStyle name="표준 42 42" xfId="3405"/>
    <cellStyle name="표준 42 43" xfId="3406"/>
    <cellStyle name="표준 42 44" xfId="3407"/>
    <cellStyle name="표준 42 45" xfId="3408"/>
    <cellStyle name="표준 42 46" xfId="3409"/>
    <cellStyle name="표준 42 47" xfId="3410"/>
    <cellStyle name="표준 42 48" xfId="3411"/>
    <cellStyle name="표준 42 49" xfId="3412"/>
    <cellStyle name="표준 42 5" xfId="3413"/>
    <cellStyle name="표준 42 50" xfId="3414"/>
    <cellStyle name="표준 42 51" xfId="3415"/>
    <cellStyle name="표준 42 52" xfId="3416"/>
    <cellStyle name="표준 42 53" xfId="3417"/>
    <cellStyle name="표준 42 54" xfId="3418"/>
    <cellStyle name="표준 42 55" xfId="3419"/>
    <cellStyle name="표준 42 56" xfId="3420"/>
    <cellStyle name="표준 42 57" xfId="3421"/>
    <cellStyle name="표준 42 58" xfId="3422"/>
    <cellStyle name="표준 42 59" xfId="3423"/>
    <cellStyle name="표준 42 6" xfId="3424"/>
    <cellStyle name="표준 42 60" xfId="3425"/>
    <cellStyle name="표준 42 61" xfId="3426"/>
    <cellStyle name="표준 42 62" xfId="3427"/>
    <cellStyle name="표준 42 63" xfId="3428"/>
    <cellStyle name="표준 42 64" xfId="3429"/>
    <cellStyle name="표준 42 65" xfId="3430"/>
    <cellStyle name="표준 42 66" xfId="3431"/>
    <cellStyle name="표준 42 67" xfId="3432"/>
    <cellStyle name="표준 42 68" xfId="3433"/>
    <cellStyle name="표준 42 69" xfId="3434"/>
    <cellStyle name="표준 42 7" xfId="3435"/>
    <cellStyle name="표준 42 70" xfId="3436"/>
    <cellStyle name="표준 42 71" xfId="3437"/>
    <cellStyle name="표준 42 72" xfId="3438"/>
    <cellStyle name="표준 42 73" xfId="3439"/>
    <cellStyle name="표준 42 8" xfId="3440"/>
    <cellStyle name="표준 42 9" xfId="3441"/>
    <cellStyle name="표준 43" xfId="3442"/>
    <cellStyle name="표준 43 10" xfId="3443"/>
    <cellStyle name="표준 43 11" xfId="3444"/>
    <cellStyle name="표준 43 12" xfId="3445"/>
    <cellStyle name="표준 43 13" xfId="3446"/>
    <cellStyle name="표준 43 14" xfId="3447"/>
    <cellStyle name="표준 43 15" xfId="3448"/>
    <cellStyle name="표준 43 16" xfId="3449"/>
    <cellStyle name="표준 43 17" xfId="3450"/>
    <cellStyle name="표준 43 18" xfId="3451"/>
    <cellStyle name="표준 43 19" xfId="3452"/>
    <cellStyle name="표준 43 2" xfId="3453"/>
    <cellStyle name="표준 43 20" xfId="3454"/>
    <cellStyle name="표준 43 21" xfId="3455"/>
    <cellStyle name="표준 43 22" xfId="3456"/>
    <cellStyle name="표준 43 23" xfId="3457"/>
    <cellStyle name="표준 43 24" xfId="3458"/>
    <cellStyle name="표준 43 25" xfId="3459"/>
    <cellStyle name="표준 43 26" xfId="3460"/>
    <cellStyle name="표준 43 27" xfId="3461"/>
    <cellStyle name="표준 43 28" xfId="3462"/>
    <cellStyle name="표준 43 29" xfId="3463"/>
    <cellStyle name="표준 43 3" xfId="3464"/>
    <cellStyle name="표준 43 30" xfId="3465"/>
    <cellStyle name="표준 43 31" xfId="3466"/>
    <cellStyle name="표준 43 32" xfId="3467"/>
    <cellStyle name="표준 43 33" xfId="3468"/>
    <cellStyle name="표준 43 34" xfId="3469"/>
    <cellStyle name="표준 43 35" xfId="3470"/>
    <cellStyle name="표준 43 36" xfId="3471"/>
    <cellStyle name="표준 43 37" xfId="3472"/>
    <cellStyle name="표준 43 38" xfId="3473"/>
    <cellStyle name="표준 43 39" xfId="3474"/>
    <cellStyle name="표준 43 4" xfId="3475"/>
    <cellStyle name="표준 43 40" xfId="3476"/>
    <cellStyle name="표준 43 41" xfId="3477"/>
    <cellStyle name="표준 43 42" xfId="3478"/>
    <cellStyle name="표준 43 43" xfId="3479"/>
    <cellStyle name="표준 43 44" xfId="3480"/>
    <cellStyle name="표준 43 45" xfId="3481"/>
    <cellStyle name="표준 43 46" xfId="3482"/>
    <cellStyle name="표준 43 47" xfId="3483"/>
    <cellStyle name="표준 43 48" xfId="3484"/>
    <cellStyle name="표준 43 49" xfId="3485"/>
    <cellStyle name="표준 43 5" xfId="3486"/>
    <cellStyle name="표준 43 50" xfId="3487"/>
    <cellStyle name="표준 43 51" xfId="3488"/>
    <cellStyle name="표준 43 52" xfId="3489"/>
    <cellStyle name="표준 43 53" xfId="3490"/>
    <cellStyle name="표준 43 54" xfId="3491"/>
    <cellStyle name="표준 43 55" xfId="3492"/>
    <cellStyle name="표준 43 56" xfId="3493"/>
    <cellStyle name="표준 43 57" xfId="3494"/>
    <cellStyle name="표준 43 58" xfId="3495"/>
    <cellStyle name="표준 43 59" xfId="3496"/>
    <cellStyle name="표준 43 6" xfId="3497"/>
    <cellStyle name="표준 43 60" xfId="3498"/>
    <cellStyle name="표준 43 61" xfId="3499"/>
    <cellStyle name="표준 43 62" xfId="3500"/>
    <cellStyle name="표준 43 63" xfId="3501"/>
    <cellStyle name="표준 43 64" xfId="3502"/>
    <cellStyle name="표준 43 65" xfId="3503"/>
    <cellStyle name="표준 43 66" xfId="3504"/>
    <cellStyle name="표준 43 67" xfId="3505"/>
    <cellStyle name="표준 43 68" xfId="3506"/>
    <cellStyle name="표준 43 69" xfId="3507"/>
    <cellStyle name="표준 43 7" xfId="3508"/>
    <cellStyle name="표준 43 70" xfId="3509"/>
    <cellStyle name="표준 43 71" xfId="3510"/>
    <cellStyle name="표준 43 72" xfId="3511"/>
    <cellStyle name="표준 43 73" xfId="3512"/>
    <cellStyle name="표준 43 74" xfId="3513"/>
    <cellStyle name="표준 43 75" xfId="3514"/>
    <cellStyle name="표준 43 76" xfId="3515"/>
    <cellStyle name="표준 43 77" xfId="3516"/>
    <cellStyle name="표준 43 8" xfId="3517"/>
    <cellStyle name="표준 43 9" xfId="3518"/>
    <cellStyle name="표준 44" xfId="3519"/>
    <cellStyle name="표준 44 10" xfId="3520"/>
    <cellStyle name="표준 44 11" xfId="3521"/>
    <cellStyle name="표준 44 12" xfId="3522"/>
    <cellStyle name="표준 44 13" xfId="3523"/>
    <cellStyle name="표준 44 14" xfId="3524"/>
    <cellStyle name="표준 44 15" xfId="3525"/>
    <cellStyle name="표준 44 16" xfId="3526"/>
    <cellStyle name="표준 44 17" xfId="3527"/>
    <cellStyle name="표준 44 18" xfId="3528"/>
    <cellStyle name="표준 44 19" xfId="3529"/>
    <cellStyle name="표준 44 2" xfId="3530"/>
    <cellStyle name="표준 44 20" xfId="3531"/>
    <cellStyle name="표준 44 21" xfId="3532"/>
    <cellStyle name="표준 44 22" xfId="3533"/>
    <cellStyle name="표준 44 23" xfId="3534"/>
    <cellStyle name="표준 44 24" xfId="3535"/>
    <cellStyle name="표준 44 25" xfId="3536"/>
    <cellStyle name="표준 44 26" xfId="3537"/>
    <cellStyle name="표준 44 27" xfId="3538"/>
    <cellStyle name="표준 44 28" xfId="3539"/>
    <cellStyle name="표준 44 29" xfId="3540"/>
    <cellStyle name="표준 44 3" xfId="3541"/>
    <cellStyle name="표준 44 30" xfId="3542"/>
    <cellStyle name="표준 44 31" xfId="3543"/>
    <cellStyle name="표준 44 32" xfId="3544"/>
    <cellStyle name="표준 44 33" xfId="3545"/>
    <cellStyle name="표준 44 34" xfId="3546"/>
    <cellStyle name="표준 44 35" xfId="3547"/>
    <cellStyle name="표준 44 36" xfId="3548"/>
    <cellStyle name="표준 44 37" xfId="3549"/>
    <cellStyle name="표준 44 38" xfId="3550"/>
    <cellStyle name="표준 44 39" xfId="3551"/>
    <cellStyle name="표준 44 4" xfId="3552"/>
    <cellStyle name="표준 44 40" xfId="3553"/>
    <cellStyle name="표준 44 41" xfId="3554"/>
    <cellStyle name="표준 44 42" xfId="3555"/>
    <cellStyle name="표준 44 43" xfId="3556"/>
    <cellStyle name="표준 44 44" xfId="3557"/>
    <cellStyle name="표준 44 45" xfId="3558"/>
    <cellStyle name="표준 44 46" xfId="3559"/>
    <cellStyle name="표준 44 47" xfId="3560"/>
    <cellStyle name="표준 44 48" xfId="3561"/>
    <cellStyle name="표준 44 49" xfId="3562"/>
    <cellStyle name="표준 44 5" xfId="3563"/>
    <cellStyle name="표준 44 50" xfId="3564"/>
    <cellStyle name="표준 44 51" xfId="3565"/>
    <cellStyle name="표준 44 52" xfId="3566"/>
    <cellStyle name="표준 44 53" xfId="3567"/>
    <cellStyle name="표준 44 54" xfId="3568"/>
    <cellStyle name="표준 44 55" xfId="3569"/>
    <cellStyle name="표준 44 56" xfId="3570"/>
    <cellStyle name="표준 44 57" xfId="3571"/>
    <cellStyle name="표준 44 58" xfId="3572"/>
    <cellStyle name="표준 44 59" xfId="3573"/>
    <cellStyle name="표준 44 6" xfId="3574"/>
    <cellStyle name="표준 44 60" xfId="3575"/>
    <cellStyle name="표준 44 61" xfId="3576"/>
    <cellStyle name="표준 44 62" xfId="3577"/>
    <cellStyle name="표준 44 63" xfId="3578"/>
    <cellStyle name="표준 44 64" xfId="3579"/>
    <cellStyle name="표준 44 65" xfId="3580"/>
    <cellStyle name="표준 44 66" xfId="3581"/>
    <cellStyle name="표준 44 67" xfId="3582"/>
    <cellStyle name="표준 44 68" xfId="3583"/>
    <cellStyle name="표준 44 69" xfId="3584"/>
    <cellStyle name="표준 44 7" xfId="3585"/>
    <cellStyle name="표준 44 70" xfId="3586"/>
    <cellStyle name="표준 44 71" xfId="3587"/>
    <cellStyle name="표준 44 72" xfId="3588"/>
    <cellStyle name="표준 44 73" xfId="3589"/>
    <cellStyle name="표준 44 74" xfId="3590"/>
    <cellStyle name="표준 44 75" xfId="3591"/>
    <cellStyle name="표준 44 76" xfId="3592"/>
    <cellStyle name="표준 44 77" xfId="3593"/>
    <cellStyle name="표준 44 8" xfId="3594"/>
    <cellStyle name="표준 44 9" xfId="3595"/>
    <cellStyle name="표준 45" xfId="3596"/>
    <cellStyle name="표준 45 10" xfId="3597"/>
    <cellStyle name="표준 45 11" xfId="3598"/>
    <cellStyle name="표준 45 12" xfId="3599"/>
    <cellStyle name="표준 45 13" xfId="3600"/>
    <cellStyle name="표준 45 14" xfId="3601"/>
    <cellStyle name="표준 45 15" xfId="3602"/>
    <cellStyle name="표준 45 16" xfId="3603"/>
    <cellStyle name="표준 45 17" xfId="3604"/>
    <cellStyle name="표준 45 18" xfId="3605"/>
    <cellStyle name="표준 45 19" xfId="3606"/>
    <cellStyle name="표준 45 2" xfId="3607"/>
    <cellStyle name="표준 45 20" xfId="3608"/>
    <cellStyle name="표준 45 21" xfId="3609"/>
    <cellStyle name="표준 45 22" xfId="3610"/>
    <cellStyle name="표준 45 23" xfId="3611"/>
    <cellStyle name="표준 45 24" xfId="3612"/>
    <cellStyle name="표준 45 25" xfId="3613"/>
    <cellStyle name="표준 45 26" xfId="3614"/>
    <cellStyle name="표준 45 27" xfId="3615"/>
    <cellStyle name="표준 45 28" xfId="3616"/>
    <cellStyle name="표준 45 29" xfId="3617"/>
    <cellStyle name="표준 45 3" xfId="3618"/>
    <cellStyle name="표준 45 30" xfId="3619"/>
    <cellStyle name="표준 45 31" xfId="3620"/>
    <cellStyle name="표준 45 32" xfId="3621"/>
    <cellStyle name="표준 45 33" xfId="3622"/>
    <cellStyle name="표준 45 34" xfId="3623"/>
    <cellStyle name="표준 45 35" xfId="3624"/>
    <cellStyle name="표준 45 36" xfId="3625"/>
    <cellStyle name="표준 45 37" xfId="3626"/>
    <cellStyle name="표준 45 38" xfId="3627"/>
    <cellStyle name="표준 45 39" xfId="3628"/>
    <cellStyle name="표준 45 4" xfId="3629"/>
    <cellStyle name="표준 45 40" xfId="3630"/>
    <cellStyle name="표준 45 41" xfId="3631"/>
    <cellStyle name="표준 45 42" xfId="3632"/>
    <cellStyle name="표준 45 43" xfId="3633"/>
    <cellStyle name="표준 45 44" xfId="3634"/>
    <cellStyle name="표준 45 45" xfId="3635"/>
    <cellStyle name="표준 45 46" xfId="3636"/>
    <cellStyle name="표준 45 47" xfId="3637"/>
    <cellStyle name="표준 45 48" xfId="3638"/>
    <cellStyle name="표준 45 49" xfId="3639"/>
    <cellStyle name="표준 45 5" xfId="3640"/>
    <cellStyle name="표준 45 50" xfId="3641"/>
    <cellStyle name="표준 45 51" xfId="3642"/>
    <cellStyle name="표준 45 52" xfId="3643"/>
    <cellStyle name="표준 45 53" xfId="3644"/>
    <cellStyle name="표준 45 54" xfId="3645"/>
    <cellStyle name="표준 45 55" xfId="3646"/>
    <cellStyle name="표준 45 56" xfId="3647"/>
    <cellStyle name="표준 45 57" xfId="3648"/>
    <cellStyle name="표준 45 58" xfId="3649"/>
    <cellStyle name="표준 45 59" xfId="3650"/>
    <cellStyle name="표준 45 6" xfId="3651"/>
    <cellStyle name="표준 45 60" xfId="3652"/>
    <cellStyle name="표준 45 61" xfId="3653"/>
    <cellStyle name="표준 45 62" xfId="3654"/>
    <cellStyle name="표준 45 63" xfId="3655"/>
    <cellStyle name="표준 45 7" xfId="3656"/>
    <cellStyle name="표준 45 8" xfId="3657"/>
    <cellStyle name="표준 45 9" xfId="3658"/>
    <cellStyle name="표준 46" xfId="3659"/>
    <cellStyle name="표준 46 10" xfId="3660"/>
    <cellStyle name="표준 46 11" xfId="3661"/>
    <cellStyle name="표준 46 12" xfId="3662"/>
    <cellStyle name="표준 46 13" xfId="3663"/>
    <cellStyle name="표준 46 14" xfId="3664"/>
    <cellStyle name="표준 46 15" xfId="3665"/>
    <cellStyle name="표준 46 16" xfId="3666"/>
    <cellStyle name="표준 46 17" xfId="3667"/>
    <cellStyle name="표준 46 18" xfId="3668"/>
    <cellStyle name="표준 46 19" xfId="3669"/>
    <cellStyle name="표준 46 2" xfId="3670"/>
    <cellStyle name="표준 46 20" xfId="3671"/>
    <cellStyle name="표준 46 21" xfId="3672"/>
    <cellStyle name="표준 46 22" xfId="3673"/>
    <cellStyle name="표준 46 23" xfId="3674"/>
    <cellStyle name="표준 46 24" xfId="3675"/>
    <cellStyle name="표준 46 25" xfId="3676"/>
    <cellStyle name="표준 46 26" xfId="3677"/>
    <cellStyle name="표준 46 27" xfId="3678"/>
    <cellStyle name="표준 46 28" xfId="3679"/>
    <cellStyle name="표준 46 29" xfId="3680"/>
    <cellStyle name="표준 46 3" xfId="3681"/>
    <cellStyle name="표준 46 30" xfId="3682"/>
    <cellStyle name="표준 46 31" xfId="3683"/>
    <cellStyle name="표준 46 32" xfId="3684"/>
    <cellStyle name="표준 46 33" xfId="3685"/>
    <cellStyle name="표준 46 34" xfId="3686"/>
    <cellStyle name="표준 46 35" xfId="3687"/>
    <cellStyle name="표준 46 36" xfId="3688"/>
    <cellStyle name="표준 46 37" xfId="3689"/>
    <cellStyle name="표준 46 38" xfId="3690"/>
    <cellStyle name="표준 46 39" xfId="3691"/>
    <cellStyle name="표준 46 4" xfId="3692"/>
    <cellStyle name="표준 46 40" xfId="3693"/>
    <cellStyle name="표준 46 41" xfId="3694"/>
    <cellStyle name="표준 46 42" xfId="3695"/>
    <cellStyle name="표준 46 43" xfId="3696"/>
    <cellStyle name="표준 46 44" xfId="3697"/>
    <cellStyle name="표준 46 45" xfId="3698"/>
    <cellStyle name="표준 46 46" xfId="3699"/>
    <cellStyle name="표준 46 47" xfId="3700"/>
    <cellStyle name="표준 46 48" xfId="3701"/>
    <cellStyle name="표준 46 49" xfId="3702"/>
    <cellStyle name="표준 46 5" xfId="3703"/>
    <cellStyle name="표준 46 50" xfId="3704"/>
    <cellStyle name="표준 46 51" xfId="3705"/>
    <cellStyle name="표준 46 52" xfId="3706"/>
    <cellStyle name="표준 46 53" xfId="3707"/>
    <cellStyle name="표준 46 54" xfId="3708"/>
    <cellStyle name="표준 46 55" xfId="3709"/>
    <cellStyle name="표준 46 56" xfId="3710"/>
    <cellStyle name="표준 46 57" xfId="3711"/>
    <cellStyle name="표준 46 58" xfId="3712"/>
    <cellStyle name="표준 46 59" xfId="3713"/>
    <cellStyle name="표준 46 6" xfId="3714"/>
    <cellStyle name="표준 46 60" xfId="3715"/>
    <cellStyle name="표준 46 61" xfId="3716"/>
    <cellStyle name="표준 46 62" xfId="3717"/>
    <cellStyle name="표준 46 63" xfId="3718"/>
    <cellStyle name="표준 46 64" xfId="3719"/>
    <cellStyle name="표준 46 65" xfId="3720"/>
    <cellStyle name="표준 46 66" xfId="3721"/>
    <cellStyle name="표준 46 67" xfId="3722"/>
    <cellStyle name="표준 46 68" xfId="3723"/>
    <cellStyle name="표준 46 69" xfId="3724"/>
    <cellStyle name="표준 46 7" xfId="3725"/>
    <cellStyle name="표준 46 70" xfId="3726"/>
    <cellStyle name="표준 46 71" xfId="3727"/>
    <cellStyle name="표준 46 72" xfId="3728"/>
    <cellStyle name="표준 46 73" xfId="3729"/>
    <cellStyle name="표준 46 74" xfId="3730"/>
    <cellStyle name="표준 46 75" xfId="3731"/>
    <cellStyle name="표준 46 76" xfId="3732"/>
    <cellStyle name="표준 46 77" xfId="3733"/>
    <cellStyle name="표준 46 8" xfId="3734"/>
    <cellStyle name="표준 46 9" xfId="3735"/>
    <cellStyle name="표준 47" xfId="3736"/>
    <cellStyle name="표준 47 10" xfId="3737"/>
    <cellStyle name="표준 47 11" xfId="3738"/>
    <cellStyle name="표준 47 12" xfId="3739"/>
    <cellStyle name="표준 47 13" xfId="3740"/>
    <cellStyle name="표준 47 14" xfId="3741"/>
    <cellStyle name="표준 47 15" xfId="3742"/>
    <cellStyle name="표준 47 16" xfId="3743"/>
    <cellStyle name="표준 47 17" xfId="3744"/>
    <cellStyle name="표준 47 18" xfId="3745"/>
    <cellStyle name="표준 47 19" xfId="3746"/>
    <cellStyle name="표준 47 2" xfId="3747"/>
    <cellStyle name="표준 47 20" xfId="3748"/>
    <cellStyle name="표준 47 21" xfId="3749"/>
    <cellStyle name="표준 47 22" xfId="3750"/>
    <cellStyle name="표준 47 23" xfId="3751"/>
    <cellStyle name="표준 47 24" xfId="3752"/>
    <cellStyle name="표준 47 25" xfId="3753"/>
    <cellStyle name="표준 47 26" xfId="3754"/>
    <cellStyle name="표준 47 27" xfId="3755"/>
    <cellStyle name="표준 47 28" xfId="3756"/>
    <cellStyle name="표준 47 29" xfId="3757"/>
    <cellStyle name="표준 47 3" xfId="3758"/>
    <cellStyle name="표준 47 30" xfId="3759"/>
    <cellStyle name="표준 47 31" xfId="3760"/>
    <cellStyle name="표준 47 32" xfId="3761"/>
    <cellStyle name="표준 47 33" xfId="3762"/>
    <cellStyle name="표준 47 34" xfId="3763"/>
    <cellStyle name="표준 47 35" xfId="3764"/>
    <cellStyle name="표준 47 36" xfId="3765"/>
    <cellStyle name="표준 47 37" xfId="3766"/>
    <cellStyle name="표준 47 38" xfId="3767"/>
    <cellStyle name="표준 47 39" xfId="3768"/>
    <cellStyle name="표준 47 4" xfId="3769"/>
    <cellStyle name="표준 47 40" xfId="3770"/>
    <cellStyle name="표준 47 41" xfId="3771"/>
    <cellStyle name="표준 47 42" xfId="3772"/>
    <cellStyle name="표준 47 43" xfId="3773"/>
    <cellStyle name="표준 47 44" xfId="3774"/>
    <cellStyle name="표준 47 45" xfId="3775"/>
    <cellStyle name="표준 47 46" xfId="3776"/>
    <cellStyle name="표준 47 47" xfId="3777"/>
    <cellStyle name="표준 47 48" xfId="3778"/>
    <cellStyle name="표준 47 49" xfId="3779"/>
    <cellStyle name="표준 47 5" xfId="3780"/>
    <cellStyle name="표준 47 50" xfId="3781"/>
    <cellStyle name="표준 47 51" xfId="3782"/>
    <cellStyle name="표준 47 52" xfId="3783"/>
    <cellStyle name="표준 47 53" xfId="3784"/>
    <cellStyle name="표준 47 54" xfId="3785"/>
    <cellStyle name="표준 47 55" xfId="3786"/>
    <cellStyle name="표준 47 56" xfId="3787"/>
    <cellStyle name="표준 47 57" xfId="3788"/>
    <cellStyle name="표준 47 58" xfId="3789"/>
    <cellStyle name="표준 47 59" xfId="3790"/>
    <cellStyle name="표준 47 6" xfId="3791"/>
    <cellStyle name="표준 47 60" xfId="3792"/>
    <cellStyle name="표준 47 61" xfId="3793"/>
    <cellStyle name="표준 47 62" xfId="3794"/>
    <cellStyle name="표준 47 63" xfId="3795"/>
    <cellStyle name="표준 47 7" xfId="3796"/>
    <cellStyle name="표준 47 8" xfId="3797"/>
    <cellStyle name="표준 47 9" xfId="3798"/>
    <cellStyle name="표준 48" xfId="3799"/>
    <cellStyle name="표준 48 2" xfId="3800"/>
    <cellStyle name="표준 49" xfId="3801"/>
    <cellStyle name="표준 49 2" xfId="3802"/>
    <cellStyle name="표준 5" xfId="3803"/>
    <cellStyle name="표준 5 10" xfId="3804"/>
    <cellStyle name="표준 5 11" xfId="3805"/>
    <cellStyle name="표준 5 12" xfId="3806"/>
    <cellStyle name="표준 5 13" xfId="3807"/>
    <cellStyle name="표준 5 14" xfId="3808"/>
    <cellStyle name="표준 5 15" xfId="3809"/>
    <cellStyle name="표준 5 16" xfId="3810"/>
    <cellStyle name="표준 5 17" xfId="3811"/>
    <cellStyle name="표준 5 18" xfId="3812"/>
    <cellStyle name="표준 5 19" xfId="3813"/>
    <cellStyle name="표준 5 2" xfId="3814"/>
    <cellStyle name="표준 5 2 10" xfId="3815"/>
    <cellStyle name="표준 5 2 11" xfId="3816"/>
    <cellStyle name="표준 5 2 12" xfId="3817"/>
    <cellStyle name="표준 5 2 13" xfId="3818"/>
    <cellStyle name="표준 5 2 14" xfId="3819"/>
    <cellStyle name="표준 5 2 15" xfId="3820"/>
    <cellStyle name="표준 5 2 16" xfId="3821"/>
    <cellStyle name="표준 5 2 17" xfId="3822"/>
    <cellStyle name="표준 5 2 18" xfId="3823"/>
    <cellStyle name="표준 5 2 19" xfId="3824"/>
    <cellStyle name="표준 5 2 2" xfId="3825"/>
    <cellStyle name="표준 5 2 2 2" xfId="3826"/>
    <cellStyle name="표준 5 2 2 3" xfId="3827"/>
    <cellStyle name="표준 5 2 2 4" xfId="3828"/>
    <cellStyle name="표준 5 2 3" xfId="3829"/>
    <cellStyle name="표준 5 2 4" xfId="3830"/>
    <cellStyle name="표준 5 2 5" xfId="3831"/>
    <cellStyle name="표준 5 2 6" xfId="3832"/>
    <cellStyle name="표준 5 2 7" xfId="3833"/>
    <cellStyle name="표준 5 2 8" xfId="3834"/>
    <cellStyle name="표준 5 2 9" xfId="3835"/>
    <cellStyle name="표준 5 20" xfId="3836"/>
    <cellStyle name="표준 5 21" xfId="3837"/>
    <cellStyle name="표준 5 22" xfId="3838"/>
    <cellStyle name="표준 5 23" xfId="3839"/>
    <cellStyle name="표준 5 24" xfId="3840"/>
    <cellStyle name="표준 5 25" xfId="3841"/>
    <cellStyle name="표준 5 26" xfId="3842"/>
    <cellStyle name="표준 5 27" xfId="3843"/>
    <cellStyle name="표준 5 3" xfId="3844"/>
    <cellStyle name="표준 5 3 10" xfId="3845"/>
    <cellStyle name="표준 5 3 11" xfId="3846"/>
    <cellStyle name="표준 5 3 12" xfId="3847"/>
    <cellStyle name="표준 5 3 13" xfId="3848"/>
    <cellStyle name="표준 5 3 14" xfId="3849"/>
    <cellStyle name="표준 5 3 15" xfId="3850"/>
    <cellStyle name="표준 5 3 16" xfId="3851"/>
    <cellStyle name="표준 5 3 17" xfId="3852"/>
    <cellStyle name="표준 5 3 18" xfId="3853"/>
    <cellStyle name="표준 5 3 19" xfId="3854"/>
    <cellStyle name="표준 5 3 2" xfId="3855"/>
    <cellStyle name="표준 5 3 2 2" xfId="3856"/>
    <cellStyle name="표준 5 3 2 3" xfId="3857"/>
    <cellStyle name="표준 5 3 2 4" xfId="3858"/>
    <cellStyle name="표준 5 3 3" xfId="3859"/>
    <cellStyle name="표준 5 3 4" xfId="3860"/>
    <cellStyle name="표준 5 3 5" xfId="3861"/>
    <cellStyle name="표준 5 3 6" xfId="3862"/>
    <cellStyle name="표준 5 3 7" xfId="3863"/>
    <cellStyle name="표준 5 3 8" xfId="3864"/>
    <cellStyle name="표준 5 3 9" xfId="3865"/>
    <cellStyle name="표준 5 4" xfId="3866"/>
    <cellStyle name="표준 5 4 2" xfId="3867"/>
    <cellStyle name="표준 5 4 2 2" xfId="3868"/>
    <cellStyle name="표준 5 4 3" xfId="3869"/>
    <cellStyle name="표준 5 4 4" xfId="3870"/>
    <cellStyle name="표준 5 4 5" xfId="3871"/>
    <cellStyle name="표준 5 5" xfId="3872"/>
    <cellStyle name="표준 5 5 2" xfId="3873"/>
    <cellStyle name="표준 5 5 2 2" xfId="3874"/>
    <cellStyle name="표준 5 5 3" xfId="3875"/>
    <cellStyle name="표준 5 5 4" xfId="3876"/>
    <cellStyle name="표준 5 5 5" xfId="3877"/>
    <cellStyle name="표준 5 6" xfId="3878"/>
    <cellStyle name="표준 5 6 2" xfId="3879"/>
    <cellStyle name="표준 5 6 2 2" xfId="3880"/>
    <cellStyle name="표준 5 7" xfId="3881"/>
    <cellStyle name="표준 5 8" xfId="3882"/>
    <cellStyle name="표준 5 9" xfId="3883"/>
    <cellStyle name="표준 50" xfId="3884"/>
    <cellStyle name="표준 50 2" xfId="3885"/>
    <cellStyle name="표준 51" xfId="3886"/>
    <cellStyle name="표준 51 2" xfId="3887"/>
    <cellStyle name="표준 52" xfId="3888"/>
    <cellStyle name="표준 52 2" xfId="3889"/>
    <cellStyle name="표준 53" xfId="3890"/>
    <cellStyle name="표준 53 2" xfId="3891"/>
    <cellStyle name="표준 54" xfId="3892"/>
    <cellStyle name="표준 54 2" xfId="3893"/>
    <cellStyle name="표준 55" xfId="3894"/>
    <cellStyle name="표준 56" xfId="3895"/>
    <cellStyle name="표준 56 10" xfId="3896"/>
    <cellStyle name="표준 56 11" xfId="3897"/>
    <cellStyle name="표준 56 12" xfId="3898"/>
    <cellStyle name="표준 56 13" xfId="3899"/>
    <cellStyle name="표준 56 14" xfId="3900"/>
    <cellStyle name="표준 56 15" xfId="3901"/>
    <cellStyle name="표준 56 16" xfId="3902"/>
    <cellStyle name="표준 56 17" xfId="3903"/>
    <cellStyle name="표준 56 18" xfId="3904"/>
    <cellStyle name="표준 56 19" xfId="3905"/>
    <cellStyle name="표준 56 2" xfId="3906"/>
    <cellStyle name="표준 56 20" xfId="3907"/>
    <cellStyle name="표준 56 21" xfId="3908"/>
    <cellStyle name="표준 56 22" xfId="3909"/>
    <cellStyle name="표준 56 23" xfId="3910"/>
    <cellStyle name="표준 56 24" xfId="3911"/>
    <cellStyle name="표준 56 25" xfId="3912"/>
    <cellStyle name="표준 56 26" xfId="3913"/>
    <cellStyle name="표준 56 27" xfId="3914"/>
    <cellStyle name="표준 56 28" xfId="3915"/>
    <cellStyle name="표준 56 29" xfId="3916"/>
    <cellStyle name="표준 56 3" xfId="3917"/>
    <cellStyle name="표준 56 30" xfId="3918"/>
    <cellStyle name="표준 56 31" xfId="3919"/>
    <cellStyle name="표준 56 32" xfId="3920"/>
    <cellStyle name="표준 56 33" xfId="3921"/>
    <cellStyle name="표준 56 34" xfId="3922"/>
    <cellStyle name="표준 56 35" xfId="3923"/>
    <cellStyle name="표준 56 36" xfId="3924"/>
    <cellStyle name="표준 56 37" xfId="3925"/>
    <cellStyle name="표준 56 38" xfId="3926"/>
    <cellStyle name="표준 56 39" xfId="3927"/>
    <cellStyle name="표준 56 4" xfId="3928"/>
    <cellStyle name="표준 56 40" xfId="3929"/>
    <cellStyle name="표준 56 41" xfId="3930"/>
    <cellStyle name="표준 56 42" xfId="3931"/>
    <cellStyle name="표준 56 43" xfId="3932"/>
    <cellStyle name="표준 56 44" xfId="3933"/>
    <cellStyle name="표준 56 45" xfId="3934"/>
    <cellStyle name="표준 56 46" xfId="3935"/>
    <cellStyle name="표준 56 47" xfId="3936"/>
    <cellStyle name="표준 56 48" xfId="3937"/>
    <cellStyle name="표준 56 49" xfId="3938"/>
    <cellStyle name="표준 56 5" xfId="3939"/>
    <cellStyle name="표준 56 50" xfId="3940"/>
    <cellStyle name="표준 56 51" xfId="3941"/>
    <cellStyle name="표준 56 52" xfId="3942"/>
    <cellStyle name="표준 56 53" xfId="3943"/>
    <cellStyle name="표준 56 54" xfId="3944"/>
    <cellStyle name="표준 56 55" xfId="3945"/>
    <cellStyle name="표준 56 56" xfId="3946"/>
    <cellStyle name="표준 56 57" xfId="3947"/>
    <cellStyle name="표준 56 58" xfId="3948"/>
    <cellStyle name="표준 56 59" xfId="3949"/>
    <cellStyle name="표준 56 6" xfId="3950"/>
    <cellStyle name="표준 56 7" xfId="3951"/>
    <cellStyle name="표준 56 8" xfId="3952"/>
    <cellStyle name="표준 56 9" xfId="3953"/>
    <cellStyle name="표준 57" xfId="3954"/>
    <cellStyle name="표준 58" xfId="3955"/>
    <cellStyle name="표준 58 10" xfId="3956"/>
    <cellStyle name="표준 58 11" xfId="3957"/>
    <cellStyle name="표준 58 12" xfId="3958"/>
    <cellStyle name="표준 58 13" xfId="3959"/>
    <cellStyle name="표준 58 14" xfId="3960"/>
    <cellStyle name="표준 58 15" xfId="3961"/>
    <cellStyle name="표준 58 16" xfId="3962"/>
    <cellStyle name="표준 58 17" xfId="3963"/>
    <cellStyle name="표준 58 18" xfId="3964"/>
    <cellStyle name="표준 58 19" xfId="3965"/>
    <cellStyle name="표준 58 2" xfId="3966"/>
    <cellStyle name="표준 58 20" xfId="3967"/>
    <cellStyle name="표준 58 21" xfId="3968"/>
    <cellStyle name="표준 58 22" xfId="3969"/>
    <cellStyle name="표준 58 23" xfId="3970"/>
    <cellStyle name="표준 58 24" xfId="3971"/>
    <cellStyle name="표준 58 25" xfId="3972"/>
    <cellStyle name="표준 58 26" xfId="3973"/>
    <cellStyle name="표준 58 27" xfId="3974"/>
    <cellStyle name="표준 58 28" xfId="3975"/>
    <cellStyle name="표준 58 29" xfId="3976"/>
    <cellStyle name="표준 58 3" xfId="3977"/>
    <cellStyle name="표준 58 30" xfId="3978"/>
    <cellStyle name="표준 58 31" xfId="3979"/>
    <cellStyle name="표준 58 32" xfId="3980"/>
    <cellStyle name="표준 58 33" xfId="3981"/>
    <cellStyle name="표준 58 34" xfId="3982"/>
    <cellStyle name="표준 58 35" xfId="3983"/>
    <cellStyle name="표준 58 36" xfId="3984"/>
    <cellStyle name="표준 58 37" xfId="3985"/>
    <cellStyle name="표준 58 38" xfId="3986"/>
    <cellStyle name="표준 58 39" xfId="3987"/>
    <cellStyle name="표준 58 4" xfId="3988"/>
    <cellStyle name="표준 58 40" xfId="3989"/>
    <cellStyle name="표준 58 41" xfId="3990"/>
    <cellStyle name="표준 58 42" xfId="3991"/>
    <cellStyle name="표준 58 43" xfId="3992"/>
    <cellStyle name="표준 58 44" xfId="3993"/>
    <cellStyle name="표준 58 45" xfId="3994"/>
    <cellStyle name="표준 58 46" xfId="3995"/>
    <cellStyle name="표준 58 47" xfId="3996"/>
    <cellStyle name="표준 58 48" xfId="3997"/>
    <cellStyle name="표준 58 49" xfId="3998"/>
    <cellStyle name="표준 58 5" xfId="3999"/>
    <cellStyle name="표준 58 50" xfId="4000"/>
    <cellStyle name="표준 58 51" xfId="4001"/>
    <cellStyle name="표준 58 52" xfId="4002"/>
    <cellStyle name="표준 58 53" xfId="4003"/>
    <cellStyle name="표준 58 54" xfId="4004"/>
    <cellStyle name="표준 58 55" xfId="4005"/>
    <cellStyle name="표준 58 56" xfId="4006"/>
    <cellStyle name="표준 58 57" xfId="4007"/>
    <cellStyle name="표준 58 58" xfId="4008"/>
    <cellStyle name="표준 58 59" xfId="4009"/>
    <cellStyle name="표준 58 6" xfId="4010"/>
    <cellStyle name="표준 58 7" xfId="4011"/>
    <cellStyle name="표준 58 8" xfId="4012"/>
    <cellStyle name="표준 58 9" xfId="4013"/>
    <cellStyle name="표준 59" xfId="4014"/>
    <cellStyle name="표준 59 10" xfId="4015"/>
    <cellStyle name="표준 59 11" xfId="4016"/>
    <cellStyle name="표준 59 12" xfId="4017"/>
    <cellStyle name="표준 59 13" xfId="4018"/>
    <cellStyle name="표준 59 14" xfId="4019"/>
    <cellStyle name="표준 59 15" xfId="4020"/>
    <cellStyle name="표준 59 16" xfId="4021"/>
    <cellStyle name="표준 59 17" xfId="4022"/>
    <cellStyle name="표준 59 18" xfId="4023"/>
    <cellStyle name="표준 59 19" xfId="4024"/>
    <cellStyle name="표준 59 2" xfId="4025"/>
    <cellStyle name="표준 59 20" xfId="4026"/>
    <cellStyle name="표준 59 21" xfId="4027"/>
    <cellStyle name="표준 59 22" xfId="4028"/>
    <cellStyle name="표준 59 23" xfId="4029"/>
    <cellStyle name="표준 59 24" xfId="4030"/>
    <cellStyle name="표준 59 25" xfId="4031"/>
    <cellStyle name="표준 59 26" xfId="4032"/>
    <cellStyle name="표준 59 27" xfId="4033"/>
    <cellStyle name="표준 59 28" xfId="4034"/>
    <cellStyle name="표준 59 29" xfId="4035"/>
    <cellStyle name="표준 59 3" xfId="4036"/>
    <cellStyle name="표준 59 30" xfId="4037"/>
    <cellStyle name="표준 59 31" xfId="4038"/>
    <cellStyle name="표준 59 32" xfId="4039"/>
    <cellStyle name="표준 59 33" xfId="4040"/>
    <cellStyle name="표준 59 34" xfId="4041"/>
    <cellStyle name="표준 59 35" xfId="4042"/>
    <cellStyle name="표준 59 36" xfId="4043"/>
    <cellStyle name="표준 59 37" xfId="4044"/>
    <cellStyle name="표준 59 38" xfId="4045"/>
    <cellStyle name="표준 59 39" xfId="4046"/>
    <cellStyle name="표준 59 4" xfId="4047"/>
    <cellStyle name="표준 59 40" xfId="4048"/>
    <cellStyle name="표준 59 41" xfId="4049"/>
    <cellStyle name="표준 59 5" xfId="4050"/>
    <cellStyle name="표준 59 6" xfId="4051"/>
    <cellStyle name="표준 59 7" xfId="4052"/>
    <cellStyle name="표준 59 8" xfId="4053"/>
    <cellStyle name="표준 59 9" xfId="4054"/>
    <cellStyle name="표준 6" xfId="4055"/>
    <cellStyle name="표준 6 10" xfId="4056"/>
    <cellStyle name="표준 6 11" xfId="4057"/>
    <cellStyle name="표준 6 12" xfId="4058"/>
    <cellStyle name="표준 6 13" xfId="4059"/>
    <cellStyle name="표준 6 14" xfId="4060"/>
    <cellStyle name="표준 6 15" xfId="4061"/>
    <cellStyle name="표준 6 16" xfId="4062"/>
    <cellStyle name="표준 6 17" xfId="4063"/>
    <cellStyle name="표준 6 18" xfId="4064"/>
    <cellStyle name="표준 6 19" xfId="4065"/>
    <cellStyle name="표준 6 2" xfId="4066"/>
    <cellStyle name="표준 6 2 10" xfId="4067"/>
    <cellStyle name="표준 6 2 11" xfId="4068"/>
    <cellStyle name="표준 6 2 12" xfId="4069"/>
    <cellStyle name="표준 6 2 13" xfId="4070"/>
    <cellStyle name="표준 6 2 14" xfId="4071"/>
    <cellStyle name="표준 6 2 15" xfId="4072"/>
    <cellStyle name="표준 6 2 16" xfId="4073"/>
    <cellStyle name="표준 6 2 17" xfId="4074"/>
    <cellStyle name="표준 6 2 18" xfId="4075"/>
    <cellStyle name="표준 6 2 19" xfId="4076"/>
    <cellStyle name="표준 6 2 2" xfId="4077"/>
    <cellStyle name="표준 6 2 2 2" xfId="4078"/>
    <cellStyle name="표준 6 2 2 3" xfId="4079"/>
    <cellStyle name="표준 6 2 2 4" xfId="4080"/>
    <cellStyle name="표준 6 2 3" xfId="4081"/>
    <cellStyle name="표준 6 2 4" xfId="4082"/>
    <cellStyle name="표준 6 2 5" xfId="4083"/>
    <cellStyle name="표준 6 2 6" xfId="4084"/>
    <cellStyle name="표준 6 2 7" xfId="4085"/>
    <cellStyle name="표준 6 2 8" xfId="4086"/>
    <cellStyle name="표준 6 2 9" xfId="4087"/>
    <cellStyle name="표준 6 20" xfId="4088"/>
    <cellStyle name="표준 6 21" xfId="4089"/>
    <cellStyle name="표준 6 22" xfId="4090"/>
    <cellStyle name="표준 6 3" xfId="4091"/>
    <cellStyle name="표준 6 4" xfId="4092"/>
    <cellStyle name="표준 6 4 2" xfId="4093"/>
    <cellStyle name="표준 6 4 3" xfId="4094"/>
    <cellStyle name="표준 6 4 4" xfId="4095"/>
    <cellStyle name="표준 6 5" xfId="4096"/>
    <cellStyle name="표준 6 6" xfId="4097"/>
    <cellStyle name="표준 6 7" xfId="4098"/>
    <cellStyle name="표준 6 7 2" xfId="4099"/>
    <cellStyle name="표준 6 8" xfId="4100"/>
    <cellStyle name="표준 6 9" xfId="4101"/>
    <cellStyle name="표준 60" xfId="4102"/>
    <cellStyle name="표준 61" xfId="4103"/>
    <cellStyle name="표준 62" xfId="4104"/>
    <cellStyle name="표준 62 10" xfId="4105"/>
    <cellStyle name="표준 62 11" xfId="4106"/>
    <cellStyle name="표준 62 12" xfId="4107"/>
    <cellStyle name="표준 62 13" xfId="4108"/>
    <cellStyle name="표준 62 14" xfId="4109"/>
    <cellStyle name="표준 62 15" xfId="4110"/>
    <cellStyle name="표준 62 16" xfId="4111"/>
    <cellStyle name="표준 62 17" xfId="4112"/>
    <cellStyle name="표준 62 18" xfId="4113"/>
    <cellStyle name="표준 62 19" xfId="4114"/>
    <cellStyle name="표준 62 2" xfId="4115"/>
    <cellStyle name="표준 62 20" xfId="4116"/>
    <cellStyle name="표준 62 21" xfId="4117"/>
    <cellStyle name="표준 62 22" xfId="4118"/>
    <cellStyle name="표준 62 23" xfId="4119"/>
    <cellStyle name="표준 62 24" xfId="4120"/>
    <cellStyle name="표준 62 25" xfId="4121"/>
    <cellStyle name="표준 62 26" xfId="4122"/>
    <cellStyle name="표준 62 27" xfId="4123"/>
    <cellStyle name="표준 62 28" xfId="4124"/>
    <cellStyle name="표준 62 29" xfId="4125"/>
    <cellStyle name="표준 62 3" xfId="4126"/>
    <cellStyle name="표준 62 30" xfId="4127"/>
    <cellStyle name="표준 62 31" xfId="4128"/>
    <cellStyle name="표준 62 32" xfId="4129"/>
    <cellStyle name="표준 62 33" xfId="4130"/>
    <cellStyle name="표준 62 34" xfId="4131"/>
    <cellStyle name="표준 62 35" xfId="4132"/>
    <cellStyle name="표준 62 36" xfId="4133"/>
    <cellStyle name="표준 62 37" xfId="4134"/>
    <cellStyle name="표준 62 4" xfId="4135"/>
    <cellStyle name="표준 62 5" xfId="4136"/>
    <cellStyle name="표준 62 6" xfId="4137"/>
    <cellStyle name="표준 62 7" xfId="4138"/>
    <cellStyle name="표준 62 8" xfId="4139"/>
    <cellStyle name="표준 62 9" xfId="4140"/>
    <cellStyle name="표준 63" xfId="4141"/>
    <cellStyle name="표준 64" xfId="4142"/>
    <cellStyle name="표준 64 10" xfId="4143"/>
    <cellStyle name="표준 64 11" xfId="4144"/>
    <cellStyle name="표준 64 12" xfId="4145"/>
    <cellStyle name="표준 64 13" xfId="4146"/>
    <cellStyle name="표준 64 14" xfId="4147"/>
    <cellStyle name="표준 64 15" xfId="4148"/>
    <cellStyle name="표준 64 16" xfId="4149"/>
    <cellStyle name="표준 64 17" xfId="4150"/>
    <cellStyle name="표준 64 18" xfId="4151"/>
    <cellStyle name="표준 64 19" xfId="4152"/>
    <cellStyle name="표준 64 2" xfId="4153"/>
    <cellStyle name="표준 64 20" xfId="4154"/>
    <cellStyle name="표준 64 21" xfId="4155"/>
    <cellStyle name="표준 64 22" xfId="4156"/>
    <cellStyle name="표준 64 23" xfId="4157"/>
    <cellStyle name="표준 64 24" xfId="4158"/>
    <cellStyle name="표준 64 25" xfId="4159"/>
    <cellStyle name="표준 64 26" xfId="4160"/>
    <cellStyle name="표준 64 27" xfId="4161"/>
    <cellStyle name="표준 64 28" xfId="4162"/>
    <cellStyle name="표준 64 29" xfId="4163"/>
    <cellStyle name="표준 64 3" xfId="4164"/>
    <cellStyle name="표준 64 30" xfId="4165"/>
    <cellStyle name="표준 64 31" xfId="4166"/>
    <cellStyle name="표준 64 32" xfId="4167"/>
    <cellStyle name="표준 64 33" xfId="4168"/>
    <cellStyle name="표준 64 34" xfId="4169"/>
    <cellStyle name="표준 64 35" xfId="4170"/>
    <cellStyle name="표준 64 36" xfId="4171"/>
    <cellStyle name="표준 64 37" xfId="4172"/>
    <cellStyle name="표준 64 4" xfId="4173"/>
    <cellStyle name="표준 64 5" xfId="4174"/>
    <cellStyle name="표준 64 6" xfId="4175"/>
    <cellStyle name="표준 64 7" xfId="4176"/>
    <cellStyle name="표준 64 8" xfId="4177"/>
    <cellStyle name="표준 64 9" xfId="4178"/>
    <cellStyle name="표준 65" xfId="4179"/>
    <cellStyle name="표준 65 10" xfId="4180"/>
    <cellStyle name="표준 65 11" xfId="4181"/>
    <cellStyle name="표준 65 12" xfId="4182"/>
    <cellStyle name="표준 65 13" xfId="4183"/>
    <cellStyle name="표준 65 14" xfId="4184"/>
    <cellStyle name="표준 65 15" xfId="4185"/>
    <cellStyle name="표준 65 16" xfId="4186"/>
    <cellStyle name="표준 65 17" xfId="4187"/>
    <cellStyle name="표준 65 18" xfId="4188"/>
    <cellStyle name="표준 65 19" xfId="4189"/>
    <cellStyle name="표준 65 2" xfId="4190"/>
    <cellStyle name="표준 65 20" xfId="4191"/>
    <cellStyle name="표준 65 21" xfId="4192"/>
    <cellStyle name="표준 65 22" xfId="4193"/>
    <cellStyle name="표준 65 23" xfId="4194"/>
    <cellStyle name="표준 65 24" xfId="4195"/>
    <cellStyle name="표준 65 25" xfId="4196"/>
    <cellStyle name="표준 65 26" xfId="4197"/>
    <cellStyle name="표준 65 27" xfId="4198"/>
    <cellStyle name="표준 65 28" xfId="4199"/>
    <cellStyle name="표준 65 29" xfId="4200"/>
    <cellStyle name="표준 65 3" xfId="4201"/>
    <cellStyle name="표준 65 30" xfId="4202"/>
    <cellStyle name="표준 65 31" xfId="4203"/>
    <cellStyle name="표준 65 32" xfId="4204"/>
    <cellStyle name="표준 65 33" xfId="4205"/>
    <cellStyle name="표준 65 34" xfId="4206"/>
    <cellStyle name="표준 65 35" xfId="4207"/>
    <cellStyle name="표준 65 36" xfId="4208"/>
    <cellStyle name="표준 65 37" xfId="4209"/>
    <cellStyle name="표준 65 4" xfId="4210"/>
    <cellStyle name="표준 65 5" xfId="4211"/>
    <cellStyle name="표준 65 6" xfId="4212"/>
    <cellStyle name="표준 65 7" xfId="4213"/>
    <cellStyle name="표준 65 8" xfId="4214"/>
    <cellStyle name="표준 65 9" xfId="4215"/>
    <cellStyle name="표준 66" xfId="4216"/>
    <cellStyle name="표준 67" xfId="4217"/>
    <cellStyle name="표준 68" xfId="4218"/>
    <cellStyle name="표준 69" xfId="4219"/>
    <cellStyle name="표준 7" xfId="4220"/>
    <cellStyle name="표준 7 10" xfId="4221"/>
    <cellStyle name="표준 7 11" xfId="4222"/>
    <cellStyle name="표준 7 12" xfId="4223"/>
    <cellStyle name="표준 7 13" xfId="4224"/>
    <cellStyle name="표준 7 14" xfId="4225"/>
    <cellStyle name="표준 7 15" xfId="4226"/>
    <cellStyle name="표준 7 16" xfId="4227"/>
    <cellStyle name="표준 7 17" xfId="4228"/>
    <cellStyle name="표준 7 18" xfId="4229"/>
    <cellStyle name="표준 7 19" xfId="4230"/>
    <cellStyle name="표준 7 2" xfId="4231"/>
    <cellStyle name="표준 7 2 2" xfId="4232"/>
    <cellStyle name="표준 7 2 3" xfId="4233"/>
    <cellStyle name="표준 7 2 4" xfId="4234"/>
    <cellStyle name="표준 7 2 5" xfId="4235"/>
    <cellStyle name="표준 7 20" xfId="4236"/>
    <cellStyle name="표준 7 21" xfId="4237"/>
    <cellStyle name="표준 7 22" xfId="4238"/>
    <cellStyle name="표준 7 23" xfId="4239"/>
    <cellStyle name="표준 7 24" xfId="4240"/>
    <cellStyle name="표준 7 25" xfId="4241"/>
    <cellStyle name="표준 7 26" xfId="4242"/>
    <cellStyle name="표준 7 27" xfId="4243"/>
    <cellStyle name="표준 7 28" xfId="4244"/>
    <cellStyle name="표준 7 3" xfId="4245"/>
    <cellStyle name="표준 7 4" xfId="4246"/>
    <cellStyle name="표준 7 5" xfId="4247"/>
    <cellStyle name="표준 7 6" xfId="4248"/>
    <cellStyle name="표준 7 7" xfId="4249"/>
    <cellStyle name="표준 7 8" xfId="4250"/>
    <cellStyle name="표준 7 9" xfId="4251"/>
    <cellStyle name="표준 70" xfId="4252"/>
    <cellStyle name="표준 71" xfId="4253"/>
    <cellStyle name="표준 73" xfId="4254"/>
    <cellStyle name="표준 76" xfId="4255"/>
    <cellStyle name="표준 76 10" xfId="4256"/>
    <cellStyle name="표준 76 11" xfId="4257"/>
    <cellStyle name="표준 76 12" xfId="4258"/>
    <cellStyle name="표준 76 13" xfId="4259"/>
    <cellStyle name="표준 76 14" xfId="4260"/>
    <cellStyle name="표준 76 15" xfId="4261"/>
    <cellStyle name="표준 76 2" xfId="4262"/>
    <cellStyle name="표준 76 3" xfId="4263"/>
    <cellStyle name="표준 76 4" xfId="4264"/>
    <cellStyle name="표준 76 5" xfId="4265"/>
    <cellStyle name="표준 76 6" xfId="4266"/>
    <cellStyle name="표준 76 7" xfId="4267"/>
    <cellStyle name="표준 76 8" xfId="4268"/>
    <cellStyle name="표준 76 9" xfId="4269"/>
    <cellStyle name="표준 77" xfId="4270"/>
    <cellStyle name="표준 77 10" xfId="4271"/>
    <cellStyle name="표준 77 11" xfId="4272"/>
    <cellStyle name="표준 77 12" xfId="4273"/>
    <cellStyle name="표준 77 13" xfId="4274"/>
    <cellStyle name="표준 77 14" xfId="4275"/>
    <cellStyle name="표준 77 15" xfId="4276"/>
    <cellStyle name="표준 77 2" xfId="4277"/>
    <cellStyle name="표준 77 3" xfId="4278"/>
    <cellStyle name="표준 77 4" xfId="4279"/>
    <cellStyle name="표준 77 5" xfId="4280"/>
    <cellStyle name="표준 77 6" xfId="4281"/>
    <cellStyle name="표준 77 7" xfId="4282"/>
    <cellStyle name="표준 77 8" xfId="4283"/>
    <cellStyle name="표준 77 9" xfId="4284"/>
    <cellStyle name="표준 78" xfId="4285"/>
    <cellStyle name="표준 78 10" xfId="4286"/>
    <cellStyle name="표준 78 11" xfId="4287"/>
    <cellStyle name="표준 78 12" xfId="4288"/>
    <cellStyle name="표준 78 13" xfId="4289"/>
    <cellStyle name="표준 78 14" xfId="4290"/>
    <cellStyle name="표준 78 15" xfId="4291"/>
    <cellStyle name="표준 78 2" xfId="4292"/>
    <cellStyle name="표준 78 3" xfId="4293"/>
    <cellStyle name="표준 78 4" xfId="4294"/>
    <cellStyle name="표준 78 5" xfId="4295"/>
    <cellStyle name="표준 78 6" xfId="4296"/>
    <cellStyle name="표준 78 7" xfId="4297"/>
    <cellStyle name="표준 78 8" xfId="4298"/>
    <cellStyle name="표준 78 9" xfId="4299"/>
    <cellStyle name="표준 8" xfId="4300"/>
    <cellStyle name="표준 8 10" xfId="4301"/>
    <cellStyle name="표준 8 11" xfId="4302"/>
    <cellStyle name="표준 8 12" xfId="4303"/>
    <cellStyle name="표준 8 13" xfId="4304"/>
    <cellStyle name="표준 8 14" xfId="4305"/>
    <cellStyle name="표준 8 15" xfId="4306"/>
    <cellStyle name="표준 8 16" xfId="4307"/>
    <cellStyle name="표준 8 17" xfId="4308"/>
    <cellStyle name="표준 8 18" xfId="4309"/>
    <cellStyle name="표준 8 19" xfId="4310"/>
    <cellStyle name="표준 8 2" xfId="4311"/>
    <cellStyle name="표준 8 2 10" xfId="4312"/>
    <cellStyle name="표준 8 2 11" xfId="4313"/>
    <cellStyle name="표준 8 2 12" xfId="4314"/>
    <cellStyle name="표준 8 2 13" xfId="4315"/>
    <cellStyle name="표준 8 2 14" xfId="4316"/>
    <cellStyle name="표준 8 2 15" xfId="4317"/>
    <cellStyle name="표준 8 2 16" xfId="4318"/>
    <cellStyle name="표준 8 2 17" xfId="4319"/>
    <cellStyle name="표준 8 2 18" xfId="4320"/>
    <cellStyle name="표준 8 2 19" xfId="4321"/>
    <cellStyle name="표준 8 2 2" xfId="4322"/>
    <cellStyle name="표준 8 2 2 2" xfId="4323"/>
    <cellStyle name="표준 8 2 2 3" xfId="4324"/>
    <cellStyle name="표준 8 2 2 4" xfId="4325"/>
    <cellStyle name="표준 8 2 3" xfId="4326"/>
    <cellStyle name="표준 8 2 4" xfId="4327"/>
    <cellStyle name="표준 8 2 5" xfId="4328"/>
    <cellStyle name="표준 8 2 6" xfId="4329"/>
    <cellStyle name="표준 8 2 7" xfId="4330"/>
    <cellStyle name="표준 8 2 8" xfId="4331"/>
    <cellStyle name="표준 8 2 9" xfId="4332"/>
    <cellStyle name="표준 8 20" xfId="4333"/>
    <cellStyle name="표준 8 21" xfId="4334"/>
    <cellStyle name="표준 8 22" xfId="4335"/>
    <cellStyle name="표준 8 23" xfId="4336"/>
    <cellStyle name="표준 8 24" xfId="4337"/>
    <cellStyle name="표준 8 24 2" xfId="4338"/>
    <cellStyle name="표준 8 24 3" xfId="4339"/>
    <cellStyle name="표준 8 24 4" xfId="4340"/>
    <cellStyle name="표준 8 24 5" xfId="4341"/>
    <cellStyle name="표준 8 25" xfId="4342"/>
    <cellStyle name="표준 8 26" xfId="4343"/>
    <cellStyle name="표준 8 27" xfId="4344"/>
    <cellStyle name="표준 8 28" xfId="4345"/>
    <cellStyle name="표준 8 29" xfId="4346"/>
    <cellStyle name="표준 8 3" xfId="4347"/>
    <cellStyle name="표준 8 3 10" xfId="4348"/>
    <cellStyle name="표준 8 3 11" xfId="4349"/>
    <cellStyle name="표준 8 3 12" xfId="4350"/>
    <cellStyle name="표준 8 3 13" xfId="4351"/>
    <cellStyle name="표준 8 3 14" xfId="4352"/>
    <cellStyle name="표준 8 3 15" xfId="4353"/>
    <cellStyle name="표준 8 3 16" xfId="4354"/>
    <cellStyle name="표준 8 3 17" xfId="4355"/>
    <cellStyle name="표준 8 3 18" xfId="4356"/>
    <cellStyle name="표준 8 3 19" xfId="4357"/>
    <cellStyle name="표준 8 3 2" xfId="4358"/>
    <cellStyle name="표준 8 3 2 2" xfId="4359"/>
    <cellStyle name="표준 8 3 2 3" xfId="4360"/>
    <cellStyle name="표준 8 3 2 4" xfId="4361"/>
    <cellStyle name="표준 8 3 3" xfId="4362"/>
    <cellStyle name="표준 8 3 4" xfId="4363"/>
    <cellStyle name="표준 8 3 5" xfId="4364"/>
    <cellStyle name="표준 8 3 6" xfId="4365"/>
    <cellStyle name="표준 8 3 7" xfId="4366"/>
    <cellStyle name="표준 8 3 8" xfId="4367"/>
    <cellStyle name="표준 8 3 9" xfId="4368"/>
    <cellStyle name="표준 8 30" xfId="4369"/>
    <cellStyle name="표준 8 31" xfId="4370"/>
    <cellStyle name="표준 8 32" xfId="4371"/>
    <cellStyle name="표준 8 33" xfId="4372"/>
    <cellStyle name="표준 8 34" xfId="4373"/>
    <cellStyle name="표준 8 35" xfId="4374"/>
    <cellStyle name="표준 8 36" xfId="4375"/>
    <cellStyle name="표준 8 37" xfId="4376"/>
    <cellStyle name="표준 8 38" xfId="4377"/>
    <cellStyle name="표준 8 39" xfId="4378"/>
    <cellStyle name="표준 8 4" xfId="4379"/>
    <cellStyle name="표준 8 4 2" xfId="4380"/>
    <cellStyle name="표준 8 4 2 2" xfId="4381"/>
    <cellStyle name="표준 8 4 3" xfId="4382"/>
    <cellStyle name="표준 8 4 4" xfId="4383"/>
    <cellStyle name="표준 8 4 5" xfId="4384"/>
    <cellStyle name="표준 8 40" xfId="4385"/>
    <cellStyle name="표준 8 41" xfId="4386"/>
    <cellStyle name="표준 8 5" xfId="4387"/>
    <cellStyle name="표준 8 5 2" xfId="4388"/>
    <cellStyle name="표준 8 5 2 2" xfId="4389"/>
    <cellStyle name="표준 8 5 3" xfId="4390"/>
    <cellStyle name="표준 8 5 4" xfId="4391"/>
    <cellStyle name="표준 8 5 5" xfId="4392"/>
    <cellStyle name="표준 8 6" xfId="4393"/>
    <cellStyle name="표준 8 6 2" xfId="4394"/>
    <cellStyle name="표준 8 6 2 2" xfId="4395"/>
    <cellStyle name="표준 8 7" xfId="4396"/>
    <cellStyle name="표준 8 7 2" xfId="4397"/>
    <cellStyle name="표준 8 8" xfId="4398"/>
    <cellStyle name="표준 8 9" xfId="4399"/>
    <cellStyle name="표준 80" xfId="4400"/>
    <cellStyle name="표준 80 10" xfId="4401"/>
    <cellStyle name="표준 80 11" xfId="4402"/>
    <cellStyle name="표준 80 12" xfId="4403"/>
    <cellStyle name="표준 80 13" xfId="4404"/>
    <cellStyle name="표준 80 14" xfId="4405"/>
    <cellStyle name="표준 80 15" xfId="4406"/>
    <cellStyle name="표준 80 2" xfId="4407"/>
    <cellStyle name="표준 80 3" xfId="4408"/>
    <cellStyle name="표준 80 4" xfId="4409"/>
    <cellStyle name="표준 80 5" xfId="4410"/>
    <cellStyle name="표준 80 6" xfId="4411"/>
    <cellStyle name="표준 80 7" xfId="4412"/>
    <cellStyle name="표준 80 8" xfId="4413"/>
    <cellStyle name="표준 80 9" xfId="4414"/>
    <cellStyle name="표준 88" xfId="4415"/>
    <cellStyle name="표준 88 10" xfId="4416"/>
    <cellStyle name="표준 88 11" xfId="4417"/>
    <cellStyle name="표준 88 12" xfId="4418"/>
    <cellStyle name="표준 88 13" xfId="4419"/>
    <cellStyle name="표준 88 14" xfId="4420"/>
    <cellStyle name="표준 88 15" xfId="4421"/>
    <cellStyle name="표준 88 2" xfId="4422"/>
    <cellStyle name="표준 88 3" xfId="4423"/>
    <cellStyle name="표준 88 4" xfId="4424"/>
    <cellStyle name="표준 88 5" xfId="4425"/>
    <cellStyle name="표준 88 6" xfId="4426"/>
    <cellStyle name="표준 88 7" xfId="4427"/>
    <cellStyle name="표준 88 8" xfId="4428"/>
    <cellStyle name="표준 88 9" xfId="4429"/>
    <cellStyle name="표준 89" xfId="4430"/>
    <cellStyle name="표준 9" xfId="4431"/>
    <cellStyle name="표준 9 2" xfId="4432"/>
    <cellStyle name="표준 9 3" xfId="4433"/>
    <cellStyle name="표준 9 4" xfId="4434"/>
    <cellStyle name="표준 9 5" xfId="4435"/>
    <cellStyle name="표준 9 6" xfId="4436"/>
    <cellStyle name="표준 9 7" xfId="4437"/>
    <cellStyle name="표준 90" xfId="4438"/>
    <cellStyle name="표준 91" xfId="4439"/>
    <cellStyle name="표준 93" xfId="4440"/>
    <cellStyle name="표준 94" xfId="4441"/>
    <cellStyle name="표준 95" xfId="4442"/>
    <cellStyle name="표준 96" xfId="4443"/>
    <cellStyle name="표준 97" xfId="4444"/>
    <cellStyle name="표준 98" xfId="4445"/>
    <cellStyle name="표준 99" xfId="4446"/>
    <cellStyle name="표준_sample-sheet-2011---LDS-01" xfId="1"/>
    <cellStyle name="표준_Sheet1" xfId="3"/>
    <cellStyle name="표준_Shee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16" fmlaRange="$T$5:$T$10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123825</xdr:rowOff>
        </xdr:from>
        <xdr:to>
          <xdr:col>12</xdr:col>
          <xdr:colOff>114300</xdr:colOff>
          <xdr:row>0</xdr:row>
          <xdr:rowOff>361950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자연정렬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257175</xdr:colOff>
          <xdr:row>0</xdr:row>
          <xdr:rowOff>123825</xdr:rowOff>
        </xdr:from>
        <xdr:to>
          <xdr:col>22</xdr:col>
          <xdr:colOff>371475</xdr:colOff>
          <xdr:row>0</xdr:row>
          <xdr:rowOff>361950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123825</xdr:rowOff>
        </xdr:from>
        <xdr:to>
          <xdr:col>17</xdr:col>
          <xdr:colOff>200025</xdr:colOff>
          <xdr:row>0</xdr:row>
          <xdr:rowOff>361950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123825</xdr:rowOff>
        </xdr:from>
        <xdr:to>
          <xdr:col>13</xdr:col>
          <xdr:colOff>304800</xdr:colOff>
          <xdr:row>0</xdr:row>
          <xdr:rowOff>361950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123825</xdr:rowOff>
        </xdr:from>
        <xdr:to>
          <xdr:col>14</xdr:col>
          <xdr:colOff>495300</xdr:colOff>
          <xdr:row>0</xdr:row>
          <xdr:rowOff>361950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LCN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628650</xdr:colOff>
          <xdr:row>0</xdr:row>
          <xdr:rowOff>123825</xdr:rowOff>
        </xdr:from>
        <xdr:to>
          <xdr:col>21</xdr:col>
          <xdr:colOff>57150</xdr:colOff>
          <xdr:row>0</xdr:row>
          <xdr:rowOff>361950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123825</xdr:rowOff>
        </xdr:from>
        <xdr:to>
          <xdr:col>19</xdr:col>
          <xdr:colOff>495300</xdr:colOff>
          <xdr:row>0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DNA Conc.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114300</xdr:rowOff>
        </xdr:from>
        <xdr:to>
          <xdr:col>16</xdr:col>
          <xdr:colOff>0</xdr:colOff>
          <xdr:row>0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0</xdr:row>
          <xdr:rowOff>161925</xdr:rowOff>
        </xdr:from>
        <xdr:to>
          <xdr:col>14</xdr:col>
          <xdr:colOff>762000</xdr:colOff>
          <xdr:row>0</xdr:row>
          <xdr:rowOff>390525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나누기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161925</xdr:rowOff>
        </xdr:from>
        <xdr:to>
          <xdr:col>16</xdr:col>
          <xdr:colOff>161925</xdr:colOff>
          <xdr:row>0</xdr:row>
          <xdr:rowOff>400050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152400</xdr:rowOff>
        </xdr:from>
        <xdr:to>
          <xdr:col>12</xdr:col>
          <xdr:colOff>47625</xdr:colOff>
          <xdr:row>0</xdr:row>
          <xdr:rowOff>381000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Merge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123825</xdr:rowOff>
        </xdr:from>
        <xdr:to>
          <xdr:col>3</xdr:col>
          <xdr:colOff>123825</xdr:colOff>
          <xdr:row>4</xdr:row>
          <xdr:rowOff>9525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9525</xdr:rowOff>
        </xdr:from>
        <xdr:to>
          <xdr:col>3</xdr:col>
          <xdr:colOff>171450</xdr:colOff>
          <xdr:row>2</xdr:row>
          <xdr:rowOff>0</xdr:rowOff>
        </xdr:to>
        <xdr:sp macro="" textlink="">
          <xdr:nvSpPr>
            <xdr:cNvPr id="11276" name="sheet_name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FS/Desktop/20200117_KNY_LSY_MKH/Tomato_Tools_14.04_&#51312;&#51008;&#548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86.36.41\&#50976;&#51204;&#51088;&#48516;&#49437;&#49892;\%232019&#45380;\2019&#45380;-&#54616;&#48152;&#44592;\2019-10\20191017-CEH\20191017-CEH_SHEET\Tomato_Tools_14.04_&#51312;&#51008;&#548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Sheet"/>
      <sheetName val="BasicInformation"/>
      <sheetName val="Check_Box_Infor"/>
      <sheetName val="ExtractedLims"/>
      <sheetName val="CombinedLims"/>
      <sheetName val="LIMS_Org"/>
      <sheetName val="LimsForSampling"/>
      <sheetName val="Arrestee_Number"/>
      <sheetName val="Arrestee_Check_Result"/>
      <sheetName val="Title_1D_Barcode"/>
      <sheetName val="LimsInformation"/>
      <sheetName val="Sampling_Analysis"/>
      <sheetName val="Sampling_Analysis2"/>
      <sheetName val="Sampling_Sexual"/>
      <sheetName val="Sampling_Arrest"/>
      <sheetName val="Sampling_Suspect"/>
      <sheetName val="Sampling_HumanID"/>
      <sheetName val="Sampling_Autopsy"/>
      <sheetName val="Sampling_Missing_Child"/>
      <sheetName val="Virtual_Plate_List"/>
      <sheetName val="Tubes_Continous"/>
      <sheetName val="Tubes_96_Well"/>
      <sheetName val="96_Well_Prepare"/>
      <sheetName val="96_Well_E_tube_Label"/>
      <sheetName val="Sample_Sheet"/>
      <sheetName val="Bone_Sheet"/>
      <sheetName val="Printec_V3940"/>
      <sheetName val="Printec_V3330"/>
      <sheetName val="MT_Sheet"/>
      <sheetName val="data"/>
      <sheetName val="Injection_Sheet"/>
      <sheetName val="Injection_Sheet_3500"/>
      <sheetName val="Lysis"/>
      <sheetName val="IQ"/>
      <sheetName val="PCR"/>
      <sheetName val="RT_Sheet"/>
      <sheetName val="RT_Standard"/>
      <sheetName val="RT_Header"/>
      <sheetName val="RT_Target"/>
      <sheetName val="RT_Sample"/>
      <sheetName val="RT_Report"/>
      <sheetName val="BioMek_Sheet_Dilution"/>
      <sheetName val="BioMek_Sheet_Transfer"/>
      <sheetName val="TextFileList"/>
      <sheetName val="ContamRefferenceList"/>
      <sheetName val="FirstResult"/>
      <sheetName val="ContamCheck"/>
      <sheetName val="WithinCaseAnalysis"/>
      <sheetName val="CombinedResult"/>
      <sheetName val="DIMS 업로드파일"/>
      <sheetName val="불상변사자폼"/>
      <sheetName val="DimsInformation"/>
      <sheetName val="DnaLimsBarcode"/>
      <sheetName val="DnaLimsBarcodeInformation"/>
      <sheetName val="VerticalResult"/>
      <sheetName val="Paternity"/>
      <sheetName val="Paternity_Check"/>
      <sheetName val="Sibling_Index"/>
      <sheetName val="Sibling_Check"/>
      <sheetName val="DNASampleWorkInformation"/>
      <sheetName val="Sampling_Infor_by_Case"/>
      <sheetName val="Sampling_Infor_Autopsy"/>
      <sheetName val="EvidenceInformation"/>
      <sheetName val="Form_Multi_Page_Information"/>
      <sheetName val="DNA_Tubes_Information"/>
      <sheetName val="RT_Information"/>
      <sheetName val="BioMek_Information"/>
      <sheetName val="DBTypeList"/>
      <sheetName val="SampleTypeList"/>
      <sheetName val="LocusSetList"/>
      <sheetName val="LocusReplaceList"/>
      <sheetName val="LocusList"/>
      <sheetName val="Identifiler"/>
      <sheetName val="PowerPlex16"/>
      <sheetName val="AutosomeReport1"/>
      <sheetName val="Globalfiler"/>
      <sheetName val="PowerPlex_Fusion"/>
      <sheetName val="Combined_Chromosome_Report1"/>
      <sheetName val="Combined_Chromosome_Report2"/>
      <sheetName val="YChromosomereport1"/>
      <sheetName val="Yfiler"/>
      <sheetName val="PowerPlex_Y23"/>
      <sheetName val="Yfiler_Plus"/>
      <sheetName val="Y23_Yfiler+"/>
      <sheetName val="ArgusX_12"/>
      <sheetName val="Human_MT_HV1_HV2"/>
      <sheetName val="Autosome_Probability"/>
      <sheetName val="유전자_Combined2"/>
      <sheetName val="유전자_Y23"/>
      <sheetName val="유전자_MT"/>
      <sheetName val="광주_Combined2"/>
      <sheetName val="Tubes_Continous_to_Export"/>
      <sheetName val="DataSort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2">
          <cell r="A2" t="str">
            <v>AutosomeReport1</v>
          </cell>
        </row>
        <row r="3">
          <cell r="A3" t="str">
            <v>Identifiler</v>
          </cell>
        </row>
        <row r="4">
          <cell r="A4" t="str">
            <v>PowerPlex16</v>
          </cell>
        </row>
        <row r="5">
          <cell r="A5" t="str">
            <v>YChromosomereport1</v>
          </cell>
        </row>
        <row r="6">
          <cell r="A6" t="str">
            <v>Yfiler</v>
          </cell>
        </row>
        <row r="7">
          <cell r="A7" t="str">
            <v>PowerPlex_Y23</v>
          </cell>
        </row>
        <row r="8">
          <cell r="A8" t="str">
            <v>Yfiler_Plus</v>
          </cell>
        </row>
        <row r="9">
          <cell r="A9" t="str">
            <v>Y23_Yfiler+</v>
          </cell>
        </row>
        <row r="10">
          <cell r="A10" t="str">
            <v>Combined_Chromosome_Report2</v>
          </cell>
        </row>
        <row r="11">
          <cell r="A11" t="str">
            <v>PowerPlex_Fusion</v>
          </cell>
        </row>
        <row r="12">
          <cell r="A12" t="str">
            <v>Globalfiler</v>
          </cell>
        </row>
        <row r="13">
          <cell r="A13" t="str">
            <v>Human_MT_HV1_HV2</v>
          </cell>
        </row>
        <row r="14">
          <cell r="A14" t="str">
            <v>ArgusX_12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Sheet"/>
      <sheetName val="BasicInformation"/>
      <sheetName val="Check_Box_Infor"/>
      <sheetName val="ExtractedLims"/>
      <sheetName val="CombinedLims"/>
      <sheetName val="LIMS_Org"/>
      <sheetName val="LimsForSampling"/>
      <sheetName val="Arrestee_Number"/>
      <sheetName val="Arrestee_Check_Result"/>
      <sheetName val="Title_1D_Barcode"/>
      <sheetName val="LimsInformation"/>
      <sheetName val="Sampling_Analysis"/>
      <sheetName val="Sampling_Analysis2"/>
      <sheetName val="Sampling_Sexual"/>
      <sheetName val="Sampling_Arrest"/>
      <sheetName val="Sampling_Suspect"/>
      <sheetName val="Sampling_HumanID"/>
      <sheetName val="Sampling_Autopsy"/>
      <sheetName val="Sampling_Missing_Child"/>
      <sheetName val="Virtual_Plate_List"/>
      <sheetName val="Tubes_Continous"/>
      <sheetName val="Tubes_96_Well"/>
      <sheetName val="96_Well_Prepare"/>
      <sheetName val="96_Well_E_tube_Label"/>
      <sheetName val="Sample_Sheet"/>
      <sheetName val="Bone_Sheet"/>
      <sheetName val="Printec_V3940"/>
      <sheetName val="Printec_V3330"/>
      <sheetName val="MT_Sheet"/>
      <sheetName val="data"/>
      <sheetName val="Injection_Sheet"/>
      <sheetName val="Injection_Sheet_3500"/>
      <sheetName val="Lysis"/>
      <sheetName val="IQ"/>
      <sheetName val="PCR"/>
      <sheetName val="RT_Sheet"/>
      <sheetName val="RT_Standard"/>
      <sheetName val="RT_Header"/>
      <sheetName val="RT_Target"/>
      <sheetName val="RT_Sample"/>
      <sheetName val="RT_Report"/>
      <sheetName val="BioMek_Sheet_Dilution"/>
      <sheetName val="BioMek_Sheet_Transfer"/>
      <sheetName val="TextFileList"/>
      <sheetName val="ContamRefferenceList"/>
      <sheetName val="FirstResult"/>
      <sheetName val="ContamCheck"/>
      <sheetName val="WithinCaseAnalysis"/>
      <sheetName val="CombinedResult"/>
      <sheetName val="DIMS 업로드파일"/>
      <sheetName val="불상변사자폼"/>
      <sheetName val="DimsInformation"/>
      <sheetName val="DnaLimsBarcode"/>
      <sheetName val="DnaLimsBarcodeInformation"/>
      <sheetName val="VerticalResult"/>
      <sheetName val="Paternity"/>
      <sheetName val="Paternity_Check"/>
      <sheetName val="Sibling_Index"/>
      <sheetName val="Sibling_Check"/>
      <sheetName val="DNASampleWorkInformation"/>
      <sheetName val="Sampling_Infor_by_Case"/>
      <sheetName val="Sampling_Infor_Autopsy"/>
      <sheetName val="EvidenceInformation"/>
      <sheetName val="Form_Multi_Page_Information"/>
      <sheetName val="DNA_Tubes_Information"/>
      <sheetName val="RT_Information"/>
      <sheetName val="BioMek_Information"/>
      <sheetName val="DBTypeList"/>
      <sheetName val="SampleTypeList"/>
      <sheetName val="LocusSetList"/>
      <sheetName val="LocusReplaceList"/>
      <sheetName val="LocusList"/>
      <sheetName val="Identifiler"/>
      <sheetName val="PowerPlex16"/>
      <sheetName val="AutosomeReport1"/>
      <sheetName val="Globalfiler"/>
      <sheetName val="PowerPlex_Fusion"/>
      <sheetName val="Combined_Chromosome_Report1"/>
      <sheetName val="Combined_Chromosome_Report2"/>
      <sheetName val="YChromosomereport1"/>
      <sheetName val="Yfiler"/>
      <sheetName val="PowerPlex_Y23"/>
      <sheetName val="Yfiler_Plus"/>
      <sheetName val="Y23_Yfiler+"/>
      <sheetName val="ArgusX_12"/>
      <sheetName val="Human_MT_HV1_HV2"/>
      <sheetName val="Autosome_Probability"/>
      <sheetName val="유전자_Combined2"/>
      <sheetName val="유전자_Y23"/>
      <sheetName val="유전자_MT"/>
      <sheetName val="광주_Combined2"/>
      <sheetName val="Tubes_Continous_to_Export"/>
      <sheetName val="DataSort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2">
          <cell r="A2" t="str">
            <v>AutosomeReport1</v>
          </cell>
        </row>
        <row r="3">
          <cell r="A3" t="str">
            <v>Identifiler</v>
          </cell>
        </row>
        <row r="4">
          <cell r="A4" t="str">
            <v>PowerPlex16</v>
          </cell>
        </row>
        <row r="5">
          <cell r="A5" t="str">
            <v>YChromosomereport1</v>
          </cell>
        </row>
        <row r="6">
          <cell r="A6" t="str">
            <v>Yfiler</v>
          </cell>
        </row>
        <row r="7">
          <cell r="A7" t="str">
            <v>PowerPlex_Y23</v>
          </cell>
        </row>
        <row r="8">
          <cell r="A8" t="str">
            <v>Yfiler_Plus</v>
          </cell>
        </row>
        <row r="9">
          <cell r="A9" t="str">
            <v>Y23_Yfiler+</v>
          </cell>
        </row>
        <row r="10">
          <cell r="A10" t="str">
            <v>Combined_Chromosome_Report2</v>
          </cell>
        </row>
        <row r="11">
          <cell r="A11" t="str">
            <v>PowerPlex_Fusion</v>
          </cell>
        </row>
        <row r="12">
          <cell r="A12" t="str">
            <v>Globalfiler</v>
          </cell>
        </row>
        <row r="13">
          <cell r="A13" t="str">
            <v>Human_MT_HV1_HV2</v>
          </cell>
        </row>
        <row r="14">
          <cell r="A14" t="str">
            <v>ArgusX_12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tabColor theme="1"/>
  </sheetPr>
  <dimension ref="A1:Z492"/>
  <sheetViews>
    <sheetView tabSelected="1" view="pageBreakPreview" workbookViewId="0">
      <selection activeCell="G8" sqref="G8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9" customWidth="1"/>
    <col min="5" max="5" width="5.375" style="64" customWidth="1"/>
    <col min="6" max="6" width="9" style="64" customWidth="1"/>
    <col min="7" max="7" width="9" style="6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7" width="9" style="9"/>
    <col min="18" max="18" width="9.75" style="9" customWidth="1"/>
    <col min="19" max="16384" width="9" style="9"/>
  </cols>
  <sheetData>
    <row r="1" spans="1:26" s="1" customFormat="1" ht="37.5" customHeight="1" thickBot="1">
      <c r="A1" s="30"/>
      <c r="B1" s="63" t="s">
        <v>0</v>
      </c>
      <c r="C1" s="314"/>
      <c r="D1" s="315"/>
      <c r="E1" s="143"/>
      <c r="F1" s="66"/>
      <c r="G1" s="54" t="s">
        <v>1</v>
      </c>
      <c r="H1" s="253"/>
      <c r="I1" s="1" t="s">
        <v>2</v>
      </c>
      <c r="J1" s="1" t="s">
        <v>3</v>
      </c>
      <c r="K1"/>
      <c r="L1" s="110"/>
      <c r="M1" s="110"/>
      <c r="N1" s="110"/>
    </row>
    <row r="2" spans="1:26" s="2" customFormat="1" ht="34.5" customHeight="1" thickBot="1">
      <c r="A2" s="45"/>
      <c r="B2" s="47" t="s">
        <v>363</v>
      </c>
      <c r="C2" s="46" t="s">
        <v>4</v>
      </c>
      <c r="D2" s="46" t="s">
        <v>5</v>
      </c>
      <c r="E2" s="67" t="s">
        <v>234</v>
      </c>
      <c r="F2" s="68" t="s">
        <v>6</v>
      </c>
      <c r="G2" s="69" t="s">
        <v>7</v>
      </c>
      <c r="H2" s="55" t="s">
        <v>8</v>
      </c>
      <c r="I2" s="47" t="s">
        <v>9</v>
      </c>
      <c r="J2" s="47" t="s">
        <v>10</v>
      </c>
      <c r="K2" s="48" t="s">
        <v>11</v>
      </c>
      <c r="L2" s="131" t="s">
        <v>156</v>
      </c>
      <c r="M2" s="132" t="s">
        <v>157</v>
      </c>
      <c r="N2" s="132" t="s">
        <v>158</v>
      </c>
      <c r="O2" s="132" t="s">
        <v>162</v>
      </c>
      <c r="P2" s="132" t="s">
        <v>159</v>
      </c>
      <c r="Q2" s="132" t="s">
        <v>160</v>
      </c>
      <c r="R2" s="133" t="s">
        <v>161</v>
      </c>
    </row>
    <row r="3" spans="1:26" ht="21" customHeight="1" thickBot="1">
      <c r="A3" s="49" t="s">
        <v>12</v>
      </c>
      <c r="B3" s="285"/>
      <c r="C3" s="50"/>
      <c r="D3" s="70"/>
      <c r="E3" s="94"/>
      <c r="F3" s="71"/>
      <c r="G3" s="72"/>
      <c r="H3" s="73"/>
      <c r="I3" s="51"/>
      <c r="J3" s="52"/>
      <c r="K3" s="53"/>
      <c r="L3" s="134" t="e">
        <f t="shared" ref="L3:L34" si="0">ROUNDDOWN(IF((1/H3)&gt;8,8,1/H3),1)</f>
        <v>#DIV/0!</v>
      </c>
      <c r="M3" s="111">
        <f t="shared" ref="M3:M34" si="1">IF(I3="",H3*J3,H3*J3/I3)</f>
        <v>0</v>
      </c>
      <c r="N3" s="111" t="str">
        <f t="shared" ref="N3:N34" si="2">IF(ROUNDDOWN(M3*20,0)=0,"-", ROUNDDOWN(M3*20,0))</f>
        <v>-</v>
      </c>
      <c r="O3" s="3" t="s">
        <v>2</v>
      </c>
      <c r="P3" s="3" t="s">
        <v>2</v>
      </c>
      <c r="Q3" s="3" t="s">
        <v>2</v>
      </c>
      <c r="R3" s="135" t="s">
        <v>2</v>
      </c>
      <c r="S3" s="3"/>
      <c r="T3" s="3"/>
      <c r="U3" s="3"/>
      <c r="V3" s="3"/>
      <c r="W3" s="3"/>
      <c r="X3" s="3"/>
      <c r="Y3" s="3"/>
      <c r="Z3" s="3"/>
    </row>
    <row r="4" spans="1:26" ht="21" customHeight="1">
      <c r="A4" s="32" t="s">
        <v>13</v>
      </c>
      <c r="B4" s="285"/>
      <c r="C4" s="50"/>
      <c r="D4" s="70"/>
      <c r="E4" s="94"/>
      <c r="F4" s="71"/>
      <c r="G4" s="72"/>
      <c r="H4" s="73"/>
      <c r="I4" s="51"/>
      <c r="J4" s="52"/>
      <c r="K4" s="53"/>
      <c r="L4" s="134" t="e">
        <f t="shared" si="0"/>
        <v>#DIV/0!</v>
      </c>
      <c r="M4" s="111">
        <f t="shared" si="1"/>
        <v>0</v>
      </c>
      <c r="N4" s="111" t="str">
        <f t="shared" si="2"/>
        <v>-</v>
      </c>
      <c r="O4" s="3" t="s">
        <v>2</v>
      </c>
      <c r="P4" s="3" t="s">
        <v>2</v>
      </c>
      <c r="Q4" s="3" t="s">
        <v>2</v>
      </c>
      <c r="R4" s="135" t="s">
        <v>2</v>
      </c>
      <c r="S4" s="3"/>
      <c r="T4" s="3"/>
      <c r="U4" s="3"/>
      <c r="V4" s="3"/>
      <c r="W4" s="3"/>
      <c r="X4" s="3"/>
      <c r="Y4" s="3"/>
      <c r="Z4" s="3"/>
    </row>
    <row r="5" spans="1:26" ht="21" customHeight="1">
      <c r="A5" s="32" t="s">
        <v>14</v>
      </c>
      <c r="B5" s="286"/>
      <c r="C5" s="24"/>
      <c r="D5" s="16"/>
      <c r="E5" s="83"/>
      <c r="F5" s="74"/>
      <c r="G5" s="75"/>
      <c r="H5" s="76"/>
      <c r="I5" s="22"/>
      <c r="J5" s="25"/>
      <c r="K5" s="38"/>
      <c r="L5" s="134" t="e">
        <f t="shared" si="0"/>
        <v>#DIV/0!</v>
      </c>
      <c r="M5" s="111">
        <f t="shared" si="1"/>
        <v>0</v>
      </c>
      <c r="N5" s="111" t="str">
        <f t="shared" si="2"/>
        <v>-</v>
      </c>
      <c r="O5" s="3" t="s">
        <v>2</v>
      </c>
      <c r="P5" s="3" t="s">
        <v>2</v>
      </c>
      <c r="Q5" s="3" t="s">
        <v>2</v>
      </c>
      <c r="R5" s="135" t="s">
        <v>2</v>
      </c>
      <c r="S5" s="3"/>
      <c r="T5" s="3"/>
      <c r="U5" s="3"/>
      <c r="V5" s="3"/>
      <c r="W5" s="3"/>
      <c r="X5" s="3"/>
      <c r="Y5" s="3"/>
      <c r="Z5" s="3"/>
    </row>
    <row r="6" spans="1:26" ht="21" customHeight="1">
      <c r="A6" s="32" t="s">
        <v>15</v>
      </c>
      <c r="B6" s="287"/>
      <c r="C6" s="24"/>
      <c r="D6" s="16"/>
      <c r="E6" s="83"/>
      <c r="F6" s="74"/>
      <c r="G6" s="75"/>
      <c r="H6" s="76"/>
      <c r="I6" s="22"/>
      <c r="J6" s="25"/>
      <c r="K6" s="38"/>
      <c r="L6" s="134" t="e">
        <f t="shared" si="0"/>
        <v>#DIV/0!</v>
      </c>
      <c r="M6" s="111">
        <f t="shared" si="1"/>
        <v>0</v>
      </c>
      <c r="N6" s="111" t="str">
        <f t="shared" si="2"/>
        <v>-</v>
      </c>
      <c r="O6" s="3" t="s">
        <v>2</v>
      </c>
      <c r="P6" s="3" t="s">
        <v>2</v>
      </c>
      <c r="Q6" s="3" t="s">
        <v>2</v>
      </c>
      <c r="R6" s="135" t="s">
        <v>2</v>
      </c>
      <c r="S6" s="3"/>
      <c r="T6" s="3"/>
      <c r="U6" s="3"/>
      <c r="V6" s="3"/>
      <c r="W6" s="3"/>
      <c r="X6" s="3"/>
      <c r="Y6" s="3"/>
      <c r="Z6" s="3"/>
    </row>
    <row r="7" spans="1:26" ht="21" customHeight="1">
      <c r="A7" s="32" t="s">
        <v>16</v>
      </c>
      <c r="B7" s="288"/>
      <c r="C7" s="10"/>
      <c r="D7" s="77"/>
      <c r="E7" s="83"/>
      <c r="F7" s="74"/>
      <c r="G7" s="75"/>
      <c r="H7" s="76"/>
      <c r="I7" s="22"/>
      <c r="J7" s="23"/>
      <c r="K7" s="38"/>
      <c r="L7" s="134" t="e">
        <f t="shared" si="0"/>
        <v>#DIV/0!</v>
      </c>
      <c r="M7" s="111">
        <f t="shared" si="1"/>
        <v>0</v>
      </c>
      <c r="N7" s="111" t="str">
        <f t="shared" si="2"/>
        <v>-</v>
      </c>
      <c r="O7" s="3" t="s">
        <v>2</v>
      </c>
      <c r="P7" s="3" t="s">
        <v>2</v>
      </c>
      <c r="Q7" s="3" t="s">
        <v>2</v>
      </c>
      <c r="R7" s="135" t="s">
        <v>2</v>
      </c>
      <c r="S7" s="3"/>
      <c r="T7" s="3"/>
      <c r="U7" s="3"/>
      <c r="V7" s="3"/>
      <c r="W7" s="3"/>
      <c r="X7" s="3"/>
      <c r="Y7" s="3"/>
      <c r="Z7" s="3"/>
    </row>
    <row r="8" spans="1:26" ht="21" customHeight="1">
      <c r="A8" s="32" t="s">
        <v>17</v>
      </c>
      <c r="B8" s="286"/>
      <c r="C8" s="113"/>
      <c r="D8" s="17"/>
      <c r="E8" s="83"/>
      <c r="F8" s="74"/>
      <c r="G8" s="75"/>
      <c r="H8" s="76"/>
      <c r="I8" s="22"/>
      <c r="J8" s="25"/>
      <c r="K8" s="38"/>
      <c r="L8" s="134" t="e">
        <f t="shared" si="0"/>
        <v>#DIV/0!</v>
      </c>
      <c r="M8" s="111">
        <f t="shared" si="1"/>
        <v>0</v>
      </c>
      <c r="N8" s="111" t="str">
        <f t="shared" si="2"/>
        <v>-</v>
      </c>
      <c r="O8" s="3" t="s">
        <v>2</v>
      </c>
      <c r="P8" s="3" t="s">
        <v>2</v>
      </c>
      <c r="Q8" s="3" t="s">
        <v>2</v>
      </c>
      <c r="R8" s="135" t="s">
        <v>2</v>
      </c>
      <c r="S8" s="3"/>
      <c r="T8" s="3"/>
      <c r="U8" s="3"/>
      <c r="V8" s="3"/>
      <c r="W8" s="3"/>
      <c r="X8" s="3"/>
      <c r="Y8" s="3"/>
      <c r="Z8" s="3"/>
    </row>
    <row r="9" spans="1:26" ht="21" customHeight="1">
      <c r="A9" s="32" t="s">
        <v>18</v>
      </c>
      <c r="B9" s="289"/>
      <c r="C9" s="28"/>
      <c r="D9" s="128"/>
      <c r="E9" s="83"/>
      <c r="F9" s="74"/>
      <c r="G9" s="75"/>
      <c r="H9" s="74"/>
      <c r="I9" s="22"/>
      <c r="J9" s="124"/>
      <c r="K9" s="38"/>
      <c r="L9" s="134" t="e">
        <f t="shared" si="0"/>
        <v>#DIV/0!</v>
      </c>
      <c r="M9" s="111">
        <f t="shared" si="1"/>
        <v>0</v>
      </c>
      <c r="N9" s="111" t="str">
        <f t="shared" si="2"/>
        <v>-</v>
      </c>
      <c r="O9" s="3" t="s">
        <v>2</v>
      </c>
      <c r="P9" s="3" t="s">
        <v>2</v>
      </c>
      <c r="Q9" s="3" t="s">
        <v>2</v>
      </c>
      <c r="R9" s="135" t="s">
        <v>2</v>
      </c>
      <c r="S9" s="3"/>
      <c r="T9" s="3"/>
      <c r="U9" s="3"/>
      <c r="V9" s="3"/>
      <c r="W9" s="3"/>
      <c r="X9" s="3"/>
      <c r="Y9" s="3"/>
      <c r="Z9" s="3"/>
    </row>
    <row r="10" spans="1:26" s="6" customFormat="1" ht="21" customHeight="1" thickBot="1">
      <c r="A10" s="33" t="s">
        <v>19</v>
      </c>
      <c r="B10" s="290"/>
      <c r="C10" s="19"/>
      <c r="D10" s="79"/>
      <c r="E10" s="142"/>
      <c r="F10" s="80"/>
      <c r="G10" s="81"/>
      <c r="H10" s="121"/>
      <c r="I10" s="27"/>
      <c r="J10" s="125"/>
      <c r="K10" s="34"/>
      <c r="L10" s="134" t="e">
        <f t="shared" si="0"/>
        <v>#DIV/0!</v>
      </c>
      <c r="M10" s="111">
        <f t="shared" si="1"/>
        <v>0</v>
      </c>
      <c r="N10" s="111" t="str">
        <f t="shared" si="2"/>
        <v>-</v>
      </c>
      <c r="O10" s="4" t="s">
        <v>2</v>
      </c>
      <c r="P10" s="4" t="s">
        <v>2</v>
      </c>
      <c r="Q10" s="4" t="s">
        <v>2</v>
      </c>
      <c r="R10" s="137" t="s">
        <v>2</v>
      </c>
      <c r="S10" s="4"/>
      <c r="T10" s="4"/>
      <c r="U10" s="4"/>
      <c r="V10" s="4"/>
      <c r="W10" s="4"/>
      <c r="X10" s="4"/>
      <c r="Y10" s="4"/>
      <c r="Z10" s="4"/>
    </row>
    <row r="11" spans="1:26" ht="21" customHeight="1" thickTop="1">
      <c r="A11" s="35" t="s">
        <v>20</v>
      </c>
      <c r="B11" s="288"/>
      <c r="C11" s="28"/>
      <c r="D11" s="78"/>
      <c r="E11" s="87"/>
      <c r="F11" s="74"/>
      <c r="G11" s="75"/>
      <c r="H11" s="82"/>
      <c r="I11" s="22"/>
      <c r="J11" s="23"/>
      <c r="K11" s="38"/>
      <c r="L11" s="134" t="e">
        <f t="shared" si="0"/>
        <v>#DIV/0!</v>
      </c>
      <c r="M11" s="111">
        <f t="shared" si="1"/>
        <v>0</v>
      </c>
      <c r="N11" s="111" t="str">
        <f t="shared" si="2"/>
        <v>-</v>
      </c>
      <c r="O11" s="3" t="s">
        <v>2</v>
      </c>
      <c r="P11" s="3" t="s">
        <v>2</v>
      </c>
      <c r="Q11" s="3" t="s">
        <v>2</v>
      </c>
      <c r="R11" s="135" t="s">
        <v>2</v>
      </c>
      <c r="S11" s="3"/>
      <c r="T11" s="3"/>
      <c r="U11" s="3"/>
      <c r="V11" s="3"/>
      <c r="W11" s="3"/>
      <c r="X11" s="3"/>
      <c r="Y11" s="3"/>
      <c r="Z11" s="3"/>
    </row>
    <row r="12" spans="1:26" ht="21" customHeight="1">
      <c r="A12" s="32" t="s">
        <v>21</v>
      </c>
      <c r="B12" s="286"/>
      <c r="C12" s="28"/>
      <c r="D12" s="78"/>
      <c r="E12" s="83"/>
      <c r="F12" s="74"/>
      <c r="G12" s="75"/>
      <c r="H12" s="76"/>
      <c r="I12" s="22"/>
      <c r="J12" s="25"/>
      <c r="K12" s="38"/>
      <c r="L12" s="134" t="e">
        <f t="shared" si="0"/>
        <v>#DIV/0!</v>
      </c>
      <c r="M12" s="111">
        <f t="shared" si="1"/>
        <v>0</v>
      </c>
      <c r="N12" s="111" t="str">
        <f t="shared" si="2"/>
        <v>-</v>
      </c>
      <c r="O12" s="3" t="s">
        <v>2</v>
      </c>
      <c r="P12" s="3" t="s">
        <v>2</v>
      </c>
      <c r="Q12" s="3" t="s">
        <v>2</v>
      </c>
      <c r="R12" s="135" t="s">
        <v>2</v>
      </c>
      <c r="S12" s="3"/>
      <c r="T12" s="3"/>
      <c r="U12" s="3"/>
      <c r="V12" s="3"/>
      <c r="W12" s="3"/>
      <c r="X12" s="3"/>
      <c r="Y12" s="3"/>
      <c r="Z12" s="3"/>
    </row>
    <row r="13" spans="1:26" ht="21" customHeight="1">
      <c r="A13" s="32" t="s">
        <v>22</v>
      </c>
      <c r="B13" s="286"/>
      <c r="C13" s="28"/>
      <c r="D13" s="78"/>
      <c r="E13" s="144"/>
      <c r="F13" s="74"/>
      <c r="G13" s="75"/>
      <c r="H13" s="74"/>
      <c r="I13" s="22"/>
      <c r="J13" s="124"/>
      <c r="K13" s="38"/>
      <c r="L13" s="134" t="e">
        <f t="shared" si="0"/>
        <v>#DIV/0!</v>
      </c>
      <c r="M13" s="111">
        <f t="shared" si="1"/>
        <v>0</v>
      </c>
      <c r="N13" s="111" t="str">
        <f t="shared" si="2"/>
        <v>-</v>
      </c>
      <c r="O13" s="3" t="s">
        <v>2</v>
      </c>
      <c r="P13" s="3" t="s">
        <v>2</v>
      </c>
      <c r="Q13" s="3" t="s">
        <v>2</v>
      </c>
      <c r="R13" s="135" t="s">
        <v>2</v>
      </c>
      <c r="S13" s="3"/>
      <c r="T13" s="3"/>
      <c r="U13" s="3"/>
      <c r="V13" s="3"/>
      <c r="W13" s="3"/>
      <c r="X13" s="3"/>
      <c r="Y13" s="3"/>
      <c r="Z13" s="3"/>
    </row>
    <row r="14" spans="1:26" ht="21" customHeight="1">
      <c r="A14" s="32" t="s">
        <v>23</v>
      </c>
      <c r="B14" s="286"/>
      <c r="C14" s="24"/>
      <c r="D14" s="16"/>
      <c r="E14" s="83"/>
      <c r="F14" s="74"/>
      <c r="G14" s="75"/>
      <c r="H14" s="76"/>
      <c r="I14" s="22"/>
      <c r="J14" s="25"/>
      <c r="K14" s="38"/>
      <c r="L14" s="134" t="e">
        <f t="shared" si="0"/>
        <v>#DIV/0!</v>
      </c>
      <c r="M14" s="111">
        <f t="shared" si="1"/>
        <v>0</v>
      </c>
      <c r="N14" s="111" t="str">
        <f t="shared" si="2"/>
        <v>-</v>
      </c>
      <c r="O14" s="3" t="s">
        <v>2</v>
      </c>
      <c r="P14" s="3" t="s">
        <v>2</v>
      </c>
      <c r="Q14" s="3" t="s">
        <v>2</v>
      </c>
      <c r="R14" s="135" t="s">
        <v>2</v>
      </c>
      <c r="S14" s="3"/>
      <c r="T14" s="3"/>
      <c r="U14" s="3"/>
      <c r="V14" s="3"/>
      <c r="W14" s="3"/>
      <c r="X14" s="3"/>
      <c r="Y14" s="3"/>
      <c r="Z14" s="3"/>
    </row>
    <row r="15" spans="1:26" ht="21" customHeight="1">
      <c r="A15" s="32" t="s">
        <v>24</v>
      </c>
      <c r="B15" s="288"/>
      <c r="C15" s="21"/>
      <c r="D15" s="129"/>
      <c r="E15" s="83"/>
      <c r="F15" s="74"/>
      <c r="G15" s="75"/>
      <c r="H15" s="76"/>
      <c r="I15" s="22"/>
      <c r="J15" s="25"/>
      <c r="K15" s="38"/>
      <c r="L15" s="134" t="e">
        <f t="shared" si="0"/>
        <v>#DIV/0!</v>
      </c>
      <c r="M15" s="111">
        <f t="shared" si="1"/>
        <v>0</v>
      </c>
      <c r="N15" s="111" t="str">
        <f t="shared" si="2"/>
        <v>-</v>
      </c>
      <c r="O15" s="3" t="s">
        <v>2</v>
      </c>
      <c r="P15" s="3" t="s">
        <v>2</v>
      </c>
      <c r="Q15" s="3" t="s">
        <v>2</v>
      </c>
      <c r="R15" s="135" t="s">
        <v>2</v>
      </c>
      <c r="S15" s="3"/>
      <c r="T15" s="3"/>
      <c r="U15" s="3"/>
      <c r="V15" s="3"/>
      <c r="W15" s="3"/>
      <c r="X15" s="3"/>
      <c r="Y15" s="3"/>
      <c r="Z15" s="3"/>
    </row>
    <row r="16" spans="1:26" ht="21" customHeight="1">
      <c r="A16" s="32" t="s">
        <v>25</v>
      </c>
      <c r="B16" s="286"/>
      <c r="C16" s="28"/>
      <c r="D16" s="78"/>
      <c r="E16" s="83"/>
      <c r="F16" s="74"/>
      <c r="G16" s="75"/>
      <c r="H16" s="76"/>
      <c r="I16" s="22"/>
      <c r="J16" s="25"/>
      <c r="K16" s="38"/>
      <c r="L16" s="134" t="e">
        <f t="shared" si="0"/>
        <v>#DIV/0!</v>
      </c>
      <c r="M16" s="111">
        <f t="shared" si="1"/>
        <v>0</v>
      </c>
      <c r="N16" s="111" t="str">
        <f t="shared" si="2"/>
        <v>-</v>
      </c>
      <c r="O16" s="3" t="s">
        <v>2</v>
      </c>
      <c r="P16" s="3" t="s">
        <v>2</v>
      </c>
      <c r="Q16" s="3" t="s">
        <v>2</v>
      </c>
      <c r="R16" s="135" t="s">
        <v>2</v>
      </c>
      <c r="S16" s="3"/>
      <c r="T16" s="3"/>
      <c r="U16" s="3"/>
      <c r="V16" s="3"/>
      <c r="W16" s="3"/>
      <c r="X16" s="3"/>
      <c r="Y16" s="3"/>
      <c r="Z16" s="3"/>
    </row>
    <row r="17" spans="1:26" ht="21" customHeight="1">
      <c r="A17" s="32" t="s">
        <v>26</v>
      </c>
      <c r="B17" s="286"/>
      <c r="C17" s="24"/>
      <c r="D17" s="16"/>
      <c r="E17" s="83"/>
      <c r="F17" s="74"/>
      <c r="G17" s="75"/>
      <c r="H17" s="76"/>
      <c r="I17" s="22"/>
      <c r="J17" s="25"/>
      <c r="K17" s="38"/>
      <c r="L17" s="134" t="e">
        <f t="shared" si="0"/>
        <v>#DIV/0!</v>
      </c>
      <c r="M17" s="111">
        <f t="shared" si="1"/>
        <v>0</v>
      </c>
      <c r="N17" s="111" t="str">
        <f t="shared" si="2"/>
        <v>-</v>
      </c>
      <c r="O17" s="3" t="s">
        <v>2</v>
      </c>
      <c r="P17" s="3" t="s">
        <v>2</v>
      </c>
      <c r="Q17" s="3" t="s">
        <v>2</v>
      </c>
      <c r="R17" s="135" t="s">
        <v>2</v>
      </c>
      <c r="S17" s="3"/>
      <c r="T17" s="3"/>
      <c r="U17" s="3"/>
      <c r="V17" s="3"/>
      <c r="W17" s="3"/>
      <c r="X17" s="3"/>
      <c r="Y17" s="3"/>
      <c r="Z17" s="3"/>
    </row>
    <row r="18" spans="1:26" s="6" customFormat="1" ht="21" customHeight="1" thickBot="1">
      <c r="A18" s="33" t="s">
        <v>27</v>
      </c>
      <c r="B18" s="291"/>
      <c r="C18" s="114"/>
      <c r="D18" s="117"/>
      <c r="E18" s="85"/>
      <c r="F18" s="80"/>
      <c r="G18" s="81"/>
      <c r="H18" s="121"/>
      <c r="I18" s="27"/>
      <c r="J18" s="125"/>
      <c r="K18" s="34"/>
      <c r="L18" s="134" t="e">
        <f t="shared" si="0"/>
        <v>#DIV/0!</v>
      </c>
      <c r="M18" s="111">
        <f t="shared" si="1"/>
        <v>0</v>
      </c>
      <c r="N18" s="111" t="str">
        <f t="shared" si="2"/>
        <v>-</v>
      </c>
      <c r="O18" s="4" t="s">
        <v>2</v>
      </c>
      <c r="P18" s="4" t="s">
        <v>2</v>
      </c>
      <c r="Q18" s="4" t="s">
        <v>2</v>
      </c>
      <c r="R18" s="137" t="s">
        <v>2</v>
      </c>
      <c r="S18" s="4"/>
      <c r="T18" s="4"/>
      <c r="U18" s="4"/>
      <c r="V18" s="4"/>
      <c r="W18" s="4"/>
      <c r="X18" s="4"/>
      <c r="Y18" s="4"/>
      <c r="Z18" s="4"/>
    </row>
    <row r="19" spans="1:26" ht="21" customHeight="1" thickTop="1">
      <c r="A19" s="32" t="s">
        <v>28</v>
      </c>
      <c r="B19" s="288"/>
      <c r="C19" s="127"/>
      <c r="D19" s="129"/>
      <c r="E19" s="83"/>
      <c r="F19" s="74"/>
      <c r="G19" s="75"/>
      <c r="H19" s="82"/>
      <c r="I19" s="22"/>
      <c r="J19" s="23"/>
      <c r="K19" s="36"/>
      <c r="L19" s="134" t="e">
        <f t="shared" si="0"/>
        <v>#DIV/0!</v>
      </c>
      <c r="M19" s="111">
        <f t="shared" si="1"/>
        <v>0</v>
      </c>
      <c r="N19" s="111" t="str">
        <f t="shared" si="2"/>
        <v>-</v>
      </c>
      <c r="O19" s="3" t="s">
        <v>2</v>
      </c>
      <c r="P19" s="3" t="s">
        <v>2</v>
      </c>
      <c r="Q19" s="3" t="s">
        <v>2</v>
      </c>
      <c r="R19" s="135" t="s">
        <v>2</v>
      </c>
      <c r="S19" s="3"/>
      <c r="T19" s="3"/>
      <c r="U19" s="3"/>
      <c r="V19" s="3"/>
      <c r="W19" s="3"/>
      <c r="X19" s="3"/>
      <c r="Y19" s="3"/>
      <c r="Z19" s="3"/>
    </row>
    <row r="20" spans="1:26" ht="21" customHeight="1">
      <c r="A20" s="32" t="s">
        <v>29</v>
      </c>
      <c r="B20" s="287"/>
      <c r="C20" s="11"/>
      <c r="D20" s="14"/>
      <c r="E20" s="83"/>
      <c r="F20" s="74"/>
      <c r="G20" s="75"/>
      <c r="H20" s="76"/>
      <c r="I20" s="22"/>
      <c r="J20" s="25"/>
      <c r="K20" s="38"/>
      <c r="L20" s="134" t="e">
        <f t="shared" si="0"/>
        <v>#DIV/0!</v>
      </c>
      <c r="M20" s="111">
        <f t="shared" si="1"/>
        <v>0</v>
      </c>
      <c r="N20" s="111" t="str">
        <f t="shared" si="2"/>
        <v>-</v>
      </c>
      <c r="O20" s="3" t="s">
        <v>2</v>
      </c>
      <c r="P20" s="3" t="s">
        <v>2</v>
      </c>
      <c r="Q20" s="3" t="s">
        <v>2</v>
      </c>
      <c r="R20" s="135" t="s">
        <v>2</v>
      </c>
      <c r="S20" s="3"/>
      <c r="T20" s="3"/>
      <c r="U20" s="3"/>
      <c r="V20" s="3"/>
      <c r="W20" s="3"/>
      <c r="X20" s="3"/>
      <c r="Y20" s="3"/>
      <c r="Z20" s="3"/>
    </row>
    <row r="21" spans="1:26" ht="21" customHeight="1">
      <c r="A21" s="32" t="s">
        <v>30</v>
      </c>
      <c r="B21" s="286"/>
      <c r="C21" s="113"/>
      <c r="D21" s="78"/>
      <c r="E21" s="83"/>
      <c r="F21" s="74"/>
      <c r="G21" s="75"/>
      <c r="H21" s="76"/>
      <c r="I21" s="22"/>
      <c r="J21" s="25"/>
      <c r="K21" s="38"/>
      <c r="L21" s="134" t="e">
        <f t="shared" si="0"/>
        <v>#DIV/0!</v>
      </c>
      <c r="M21" s="111">
        <f t="shared" si="1"/>
        <v>0</v>
      </c>
      <c r="N21" s="111" t="str">
        <f t="shared" si="2"/>
        <v>-</v>
      </c>
      <c r="O21" s="3" t="s">
        <v>2</v>
      </c>
      <c r="P21" s="3" t="s">
        <v>2</v>
      </c>
      <c r="Q21" s="3" t="s">
        <v>2</v>
      </c>
      <c r="R21" s="135" t="s">
        <v>2</v>
      </c>
      <c r="S21" s="3"/>
      <c r="T21" s="3"/>
      <c r="U21" s="3"/>
      <c r="V21" s="3"/>
      <c r="W21" s="3"/>
      <c r="X21" s="3"/>
      <c r="Y21" s="3"/>
      <c r="Z21" s="3"/>
    </row>
    <row r="22" spans="1:26" ht="21" customHeight="1">
      <c r="A22" s="32" t="s">
        <v>31</v>
      </c>
      <c r="B22" s="286"/>
      <c r="C22" s="24"/>
      <c r="D22" s="16"/>
      <c r="E22" s="83"/>
      <c r="F22" s="74"/>
      <c r="G22" s="75"/>
      <c r="H22" s="84"/>
      <c r="I22" s="22"/>
      <c r="J22" s="25"/>
      <c r="K22" s="36"/>
      <c r="L22" s="134" t="e">
        <f t="shared" si="0"/>
        <v>#DIV/0!</v>
      </c>
      <c r="M22" s="111">
        <f t="shared" si="1"/>
        <v>0</v>
      </c>
      <c r="N22" s="111" t="str">
        <f t="shared" si="2"/>
        <v>-</v>
      </c>
      <c r="O22" s="3" t="s">
        <v>2</v>
      </c>
      <c r="P22" s="3" t="s">
        <v>2</v>
      </c>
      <c r="Q22" s="3" t="s">
        <v>2</v>
      </c>
      <c r="R22" s="135" t="s">
        <v>2</v>
      </c>
      <c r="S22" s="3"/>
      <c r="T22" s="3"/>
      <c r="U22" s="3"/>
      <c r="V22" s="3"/>
      <c r="W22" s="3"/>
      <c r="X22" s="3"/>
      <c r="Y22" s="3"/>
      <c r="Z22" s="3"/>
    </row>
    <row r="23" spans="1:26" ht="21" customHeight="1">
      <c r="A23" s="32" t="s">
        <v>32</v>
      </c>
      <c r="B23" s="286"/>
      <c r="C23" s="28"/>
      <c r="D23" s="17"/>
      <c r="E23" s="83"/>
      <c r="F23" s="74"/>
      <c r="G23" s="75"/>
      <c r="H23" s="76"/>
      <c r="I23" s="22"/>
      <c r="J23" s="25"/>
      <c r="K23" s="38"/>
      <c r="L23" s="134" t="e">
        <f t="shared" si="0"/>
        <v>#DIV/0!</v>
      </c>
      <c r="M23" s="111">
        <f t="shared" si="1"/>
        <v>0</v>
      </c>
      <c r="N23" s="111" t="str">
        <f t="shared" si="2"/>
        <v>-</v>
      </c>
      <c r="O23" s="3" t="s">
        <v>2</v>
      </c>
      <c r="P23" s="3" t="s">
        <v>2</v>
      </c>
      <c r="Q23" s="3" t="s">
        <v>2</v>
      </c>
      <c r="R23" s="135" t="s">
        <v>2</v>
      </c>
      <c r="S23" s="3"/>
      <c r="T23" s="3"/>
      <c r="U23" s="3"/>
      <c r="V23" s="3"/>
      <c r="W23" s="3"/>
      <c r="X23" s="3"/>
      <c r="Y23" s="3"/>
      <c r="Z23" s="3"/>
    </row>
    <row r="24" spans="1:26" ht="21" customHeight="1">
      <c r="A24" s="32" t="s">
        <v>33</v>
      </c>
      <c r="B24" s="286"/>
      <c r="C24" s="28"/>
      <c r="D24" s="78"/>
      <c r="E24" s="83"/>
      <c r="F24" s="74"/>
      <c r="G24" s="75"/>
      <c r="H24" s="76"/>
      <c r="I24" s="22"/>
      <c r="J24" s="25"/>
      <c r="K24" s="38"/>
      <c r="L24" s="134" t="e">
        <f t="shared" si="0"/>
        <v>#DIV/0!</v>
      </c>
      <c r="M24" s="111">
        <f t="shared" si="1"/>
        <v>0</v>
      </c>
      <c r="N24" s="111" t="str">
        <f t="shared" si="2"/>
        <v>-</v>
      </c>
      <c r="O24" s="3" t="s">
        <v>2</v>
      </c>
      <c r="P24" s="3" t="s">
        <v>2</v>
      </c>
      <c r="Q24" s="3" t="s">
        <v>2</v>
      </c>
      <c r="R24" s="135" t="s">
        <v>2</v>
      </c>
      <c r="S24" s="3"/>
      <c r="T24" s="3"/>
      <c r="U24" s="3"/>
      <c r="V24" s="3"/>
      <c r="W24" s="3"/>
      <c r="X24" s="3"/>
      <c r="Y24" s="3"/>
      <c r="Z24" s="3"/>
    </row>
    <row r="25" spans="1:26" ht="21" customHeight="1">
      <c r="A25" s="32" t="s">
        <v>34</v>
      </c>
      <c r="B25" s="286"/>
      <c r="C25" s="24"/>
      <c r="D25" s="16"/>
      <c r="E25" s="83"/>
      <c r="F25" s="74"/>
      <c r="G25" s="75"/>
      <c r="H25" s="76"/>
      <c r="I25" s="22"/>
      <c r="J25" s="25"/>
      <c r="K25" s="38"/>
      <c r="L25" s="134" t="e">
        <f t="shared" si="0"/>
        <v>#DIV/0!</v>
      </c>
      <c r="M25" s="111">
        <f t="shared" si="1"/>
        <v>0</v>
      </c>
      <c r="N25" s="111" t="str">
        <f t="shared" si="2"/>
        <v>-</v>
      </c>
      <c r="O25" s="3" t="s">
        <v>2</v>
      </c>
      <c r="P25" s="3" t="s">
        <v>2</v>
      </c>
      <c r="Q25" s="3" t="s">
        <v>2</v>
      </c>
      <c r="R25" s="135" t="s">
        <v>2</v>
      </c>
      <c r="S25" s="3"/>
      <c r="T25" s="3"/>
      <c r="U25" s="3"/>
      <c r="V25" s="3"/>
      <c r="W25" s="3"/>
      <c r="X25" s="3"/>
      <c r="Y25" s="3"/>
      <c r="Z25" s="3"/>
    </row>
    <row r="26" spans="1:26" s="6" customFormat="1" ht="21" customHeight="1" thickBot="1">
      <c r="A26" s="33" t="s">
        <v>35</v>
      </c>
      <c r="B26" s="291"/>
      <c r="C26" s="19"/>
      <c r="D26" s="79"/>
      <c r="E26" s="85"/>
      <c r="F26" s="80"/>
      <c r="G26" s="81"/>
      <c r="H26" s="121"/>
      <c r="I26" s="27"/>
      <c r="J26" s="125"/>
      <c r="K26" s="34"/>
      <c r="L26" s="134" t="e">
        <f t="shared" si="0"/>
        <v>#DIV/0!</v>
      </c>
      <c r="M26" s="111">
        <f t="shared" si="1"/>
        <v>0</v>
      </c>
      <c r="N26" s="111" t="str">
        <f t="shared" si="2"/>
        <v>-</v>
      </c>
      <c r="O26" s="4" t="s">
        <v>2</v>
      </c>
      <c r="P26" s="4" t="s">
        <v>2</v>
      </c>
      <c r="Q26" s="4" t="s">
        <v>2</v>
      </c>
      <c r="R26" s="137" t="s">
        <v>2</v>
      </c>
      <c r="S26" s="4"/>
      <c r="T26" s="4"/>
      <c r="U26" s="4"/>
      <c r="V26" s="4"/>
      <c r="W26" s="4"/>
      <c r="X26" s="4"/>
      <c r="Y26" s="4"/>
      <c r="Z26" s="4"/>
    </row>
    <row r="27" spans="1:26" ht="21" customHeight="1" thickTop="1">
      <c r="A27" s="35" t="s">
        <v>36</v>
      </c>
      <c r="B27" s="288"/>
      <c r="C27" s="21"/>
      <c r="D27" s="77"/>
      <c r="E27" s="83"/>
      <c r="F27" s="74"/>
      <c r="G27" s="75"/>
      <c r="H27" s="82"/>
      <c r="I27" s="22"/>
      <c r="J27" s="23"/>
      <c r="K27" s="38"/>
      <c r="L27" s="134" t="e">
        <f t="shared" si="0"/>
        <v>#DIV/0!</v>
      </c>
      <c r="M27" s="111">
        <f t="shared" si="1"/>
        <v>0</v>
      </c>
      <c r="N27" s="111" t="str">
        <f t="shared" si="2"/>
        <v>-</v>
      </c>
      <c r="O27" s="3" t="s">
        <v>2</v>
      </c>
      <c r="P27" s="3" t="s">
        <v>2</v>
      </c>
      <c r="Q27" s="3" t="s">
        <v>2</v>
      </c>
      <c r="R27" s="135" t="s">
        <v>2</v>
      </c>
      <c r="S27" s="3"/>
      <c r="T27" s="3"/>
      <c r="U27" s="3"/>
      <c r="V27" s="3"/>
      <c r="W27" s="3"/>
      <c r="X27" s="3"/>
      <c r="Y27" s="3"/>
      <c r="Z27" s="3"/>
    </row>
    <row r="28" spans="1:26" ht="21" customHeight="1">
      <c r="A28" s="32" t="s">
        <v>37</v>
      </c>
      <c r="B28" s="286"/>
      <c r="C28" s="28"/>
      <c r="D28" s="17"/>
      <c r="E28" s="83"/>
      <c r="F28" s="74"/>
      <c r="G28" s="75"/>
      <c r="H28" s="76"/>
      <c r="I28" s="22"/>
      <c r="J28" s="25"/>
      <c r="K28" s="38"/>
      <c r="L28" s="134" t="e">
        <f t="shared" si="0"/>
        <v>#DIV/0!</v>
      </c>
      <c r="M28" s="111">
        <f t="shared" si="1"/>
        <v>0</v>
      </c>
      <c r="N28" s="111" t="str">
        <f t="shared" si="2"/>
        <v>-</v>
      </c>
      <c r="O28" s="3" t="s">
        <v>2</v>
      </c>
      <c r="P28" s="3" t="s">
        <v>2</v>
      </c>
      <c r="Q28" s="3" t="s">
        <v>2</v>
      </c>
      <c r="R28" s="135" t="s">
        <v>2</v>
      </c>
      <c r="S28" s="3"/>
      <c r="T28" s="3"/>
      <c r="U28" s="3"/>
      <c r="V28" s="3"/>
      <c r="W28" s="3"/>
      <c r="X28" s="3"/>
      <c r="Y28" s="3"/>
      <c r="Z28" s="3"/>
    </row>
    <row r="29" spans="1:26" ht="21" customHeight="1">
      <c r="A29" s="32" t="s">
        <v>38</v>
      </c>
      <c r="B29" s="289"/>
      <c r="C29" s="28"/>
      <c r="D29" s="128"/>
      <c r="E29" s="83"/>
      <c r="F29" s="74"/>
      <c r="G29" s="75"/>
      <c r="H29" s="74"/>
      <c r="I29" s="22"/>
      <c r="J29" s="124"/>
      <c r="K29" s="38"/>
      <c r="L29" s="134" t="e">
        <f t="shared" si="0"/>
        <v>#DIV/0!</v>
      </c>
      <c r="M29" s="111">
        <f t="shared" si="1"/>
        <v>0</v>
      </c>
      <c r="N29" s="111" t="str">
        <f t="shared" si="2"/>
        <v>-</v>
      </c>
      <c r="O29" s="3" t="s">
        <v>2</v>
      </c>
      <c r="P29" s="3" t="s">
        <v>2</v>
      </c>
      <c r="Q29" s="3" t="s">
        <v>2</v>
      </c>
      <c r="R29" s="135" t="s">
        <v>2</v>
      </c>
      <c r="S29" s="3"/>
      <c r="T29" s="3"/>
      <c r="U29" s="3"/>
      <c r="V29" s="3"/>
      <c r="W29" s="3"/>
      <c r="X29" s="3"/>
      <c r="Y29" s="3"/>
      <c r="Z29" s="3"/>
    </row>
    <row r="30" spans="1:26" ht="21" customHeight="1">
      <c r="A30" s="32" t="s">
        <v>39</v>
      </c>
      <c r="B30" s="289"/>
      <c r="C30" s="28"/>
      <c r="D30" s="78"/>
      <c r="E30" s="83"/>
      <c r="F30" s="74"/>
      <c r="G30" s="75"/>
      <c r="H30" s="76"/>
      <c r="I30" s="22"/>
      <c r="J30" s="25"/>
      <c r="K30" s="38"/>
      <c r="L30" s="134" t="e">
        <f t="shared" si="0"/>
        <v>#DIV/0!</v>
      </c>
      <c r="M30" s="111">
        <f t="shared" si="1"/>
        <v>0</v>
      </c>
      <c r="N30" s="111" t="str">
        <f t="shared" si="2"/>
        <v>-</v>
      </c>
      <c r="O30" s="3" t="s">
        <v>2</v>
      </c>
      <c r="P30" s="3" t="s">
        <v>2</v>
      </c>
      <c r="Q30" s="3" t="s">
        <v>2</v>
      </c>
      <c r="R30" s="135" t="s">
        <v>2</v>
      </c>
      <c r="S30" s="3"/>
      <c r="T30" s="3"/>
      <c r="U30" s="3"/>
      <c r="V30" s="3"/>
      <c r="W30" s="3"/>
      <c r="X30" s="3"/>
      <c r="Y30" s="3"/>
      <c r="Z30" s="3"/>
    </row>
    <row r="31" spans="1:26" ht="21" customHeight="1">
      <c r="A31" s="32" t="s">
        <v>40</v>
      </c>
      <c r="B31" s="286"/>
      <c r="C31" s="24"/>
      <c r="D31" s="16"/>
      <c r="E31" s="83"/>
      <c r="F31" s="74"/>
      <c r="G31" s="75"/>
      <c r="H31" s="76"/>
      <c r="I31" s="22"/>
      <c r="J31" s="25"/>
      <c r="K31" s="38"/>
      <c r="L31" s="134" t="e">
        <f t="shared" si="0"/>
        <v>#DIV/0!</v>
      </c>
      <c r="M31" s="111">
        <f t="shared" si="1"/>
        <v>0</v>
      </c>
      <c r="N31" s="111" t="str">
        <f t="shared" si="2"/>
        <v>-</v>
      </c>
      <c r="O31" s="3" t="s">
        <v>2</v>
      </c>
      <c r="P31" s="3" t="s">
        <v>2</v>
      </c>
      <c r="Q31" s="3" t="s">
        <v>2</v>
      </c>
      <c r="R31" s="135" t="s">
        <v>2</v>
      </c>
      <c r="S31" s="3"/>
      <c r="T31" s="3"/>
      <c r="U31" s="3"/>
      <c r="V31" s="3"/>
      <c r="W31" s="3"/>
      <c r="X31" s="3"/>
      <c r="Y31" s="3"/>
      <c r="Z31" s="3"/>
    </row>
    <row r="32" spans="1:26" ht="21" customHeight="1">
      <c r="A32" s="32" t="s">
        <v>41</v>
      </c>
      <c r="B32" s="286"/>
      <c r="C32" s="24"/>
      <c r="D32" s="16"/>
      <c r="E32" s="83"/>
      <c r="F32" s="74"/>
      <c r="G32" s="75"/>
      <c r="H32" s="76"/>
      <c r="I32" s="22"/>
      <c r="J32" s="25"/>
      <c r="K32" s="38"/>
      <c r="L32" s="134" t="e">
        <f t="shared" si="0"/>
        <v>#DIV/0!</v>
      </c>
      <c r="M32" s="111">
        <f t="shared" si="1"/>
        <v>0</v>
      </c>
      <c r="N32" s="111" t="str">
        <f t="shared" si="2"/>
        <v>-</v>
      </c>
      <c r="O32" s="3" t="s">
        <v>2</v>
      </c>
      <c r="P32" s="3" t="s">
        <v>2</v>
      </c>
      <c r="Q32" s="3" t="s">
        <v>2</v>
      </c>
      <c r="R32" s="135" t="s">
        <v>2</v>
      </c>
      <c r="S32" s="3"/>
      <c r="T32" s="3"/>
      <c r="U32" s="3"/>
      <c r="V32" s="3"/>
      <c r="W32" s="3"/>
      <c r="X32" s="3"/>
      <c r="Y32" s="3"/>
      <c r="Z32" s="3"/>
    </row>
    <row r="33" spans="1:26" ht="21" customHeight="1">
      <c r="A33" s="32" t="s">
        <v>42</v>
      </c>
      <c r="B33" s="286"/>
      <c r="C33" s="24"/>
      <c r="D33" s="16"/>
      <c r="E33" s="83"/>
      <c r="F33" s="74"/>
      <c r="G33" s="75"/>
      <c r="H33" s="76"/>
      <c r="I33" s="22"/>
      <c r="J33" s="25"/>
      <c r="K33" s="36"/>
      <c r="L33" s="134" t="e">
        <f t="shared" si="0"/>
        <v>#DIV/0!</v>
      </c>
      <c r="M33" s="111">
        <f t="shared" si="1"/>
        <v>0</v>
      </c>
      <c r="N33" s="111" t="str">
        <f t="shared" si="2"/>
        <v>-</v>
      </c>
      <c r="O33" s="3" t="s">
        <v>2</v>
      </c>
      <c r="P33" s="3" t="s">
        <v>2</v>
      </c>
      <c r="Q33" s="3" t="s">
        <v>2</v>
      </c>
      <c r="R33" s="135" t="s">
        <v>2</v>
      </c>
      <c r="S33" s="3"/>
      <c r="T33" s="3"/>
      <c r="U33" s="3"/>
      <c r="V33" s="3"/>
      <c r="W33" s="3"/>
      <c r="X33" s="3"/>
      <c r="Y33" s="3"/>
      <c r="Z33" s="3"/>
    </row>
    <row r="34" spans="1:26" s="6" customFormat="1" ht="21" customHeight="1" thickBot="1">
      <c r="A34" s="33" t="s">
        <v>43</v>
      </c>
      <c r="B34" s="291"/>
      <c r="C34" s="114"/>
      <c r="D34" s="117"/>
      <c r="E34" s="85"/>
      <c r="F34" s="80"/>
      <c r="G34" s="81"/>
      <c r="H34" s="123"/>
      <c r="I34" s="27"/>
      <c r="J34" s="125"/>
      <c r="K34" s="130"/>
      <c r="L34" s="134" t="e">
        <f t="shared" si="0"/>
        <v>#DIV/0!</v>
      </c>
      <c r="M34" s="111">
        <f t="shared" si="1"/>
        <v>0</v>
      </c>
      <c r="N34" s="111" t="str">
        <f t="shared" si="2"/>
        <v>-</v>
      </c>
      <c r="O34" s="4" t="s">
        <v>2</v>
      </c>
      <c r="P34" s="4" t="s">
        <v>2</v>
      </c>
      <c r="Q34" s="4" t="s">
        <v>2</v>
      </c>
      <c r="R34" s="137" t="s">
        <v>2</v>
      </c>
      <c r="S34" s="4"/>
      <c r="T34" s="4"/>
      <c r="U34" s="4"/>
      <c r="V34" s="4"/>
      <c r="W34" s="4"/>
      <c r="X34" s="4"/>
      <c r="Y34" s="4"/>
      <c r="Z34" s="4"/>
    </row>
    <row r="35" spans="1:26" ht="21" customHeight="1" thickTop="1">
      <c r="A35" s="32" t="s">
        <v>44</v>
      </c>
      <c r="B35" s="292"/>
      <c r="C35" s="116"/>
      <c r="D35" s="118"/>
      <c r="E35" s="83"/>
      <c r="F35" s="74"/>
      <c r="G35" s="75"/>
      <c r="H35" s="82"/>
      <c r="I35" s="22"/>
      <c r="J35" s="23"/>
      <c r="K35" s="38"/>
      <c r="L35" s="134" t="e">
        <f t="shared" ref="L35:L66" si="3">ROUNDDOWN(IF((1/H35)&gt;8,8,1/H35),1)</f>
        <v>#DIV/0!</v>
      </c>
      <c r="M35" s="111">
        <f t="shared" ref="M35:M66" si="4">IF(I35="",H35*J35,H35*J35/I35)</f>
        <v>0</v>
      </c>
      <c r="N35" s="111" t="str">
        <f t="shared" ref="N35:N66" si="5">IF(ROUNDDOWN(M35*20,0)=0,"-", ROUNDDOWN(M35*20,0))</f>
        <v>-</v>
      </c>
      <c r="O35" s="3" t="s">
        <v>2</v>
      </c>
      <c r="P35" s="3" t="s">
        <v>2</v>
      </c>
      <c r="Q35" s="3" t="s">
        <v>2</v>
      </c>
      <c r="R35" s="135" t="s">
        <v>2</v>
      </c>
      <c r="S35" s="3"/>
      <c r="T35" s="3"/>
      <c r="U35" s="3"/>
      <c r="V35" s="3"/>
      <c r="W35" s="3"/>
      <c r="X35" s="3"/>
      <c r="Y35" s="3"/>
      <c r="Z35" s="3"/>
    </row>
    <row r="36" spans="1:26" s="3" customFormat="1" ht="21" customHeight="1">
      <c r="A36" s="32" t="s">
        <v>45</v>
      </c>
      <c r="B36" s="287"/>
      <c r="C36" s="11"/>
      <c r="D36" s="14"/>
      <c r="E36" s="83"/>
      <c r="F36" s="74"/>
      <c r="G36" s="75"/>
      <c r="H36" s="76"/>
      <c r="I36" s="22"/>
      <c r="J36" s="25"/>
      <c r="K36" s="38"/>
      <c r="L36" s="134" t="e">
        <f t="shared" si="3"/>
        <v>#DIV/0!</v>
      </c>
      <c r="M36" s="111">
        <f t="shared" si="4"/>
        <v>0</v>
      </c>
      <c r="N36" s="111" t="str">
        <f t="shared" si="5"/>
        <v>-</v>
      </c>
      <c r="O36" s="3" t="s">
        <v>2</v>
      </c>
      <c r="P36" s="3" t="s">
        <v>2</v>
      </c>
      <c r="Q36" s="3" t="s">
        <v>2</v>
      </c>
      <c r="R36" s="135" t="s">
        <v>2</v>
      </c>
    </row>
    <row r="37" spans="1:26" s="3" customFormat="1" ht="21" customHeight="1">
      <c r="A37" s="32" t="s">
        <v>46</v>
      </c>
      <c r="B37" s="289"/>
      <c r="C37" s="113"/>
      <c r="D37" s="128"/>
      <c r="E37" s="83"/>
      <c r="F37" s="74"/>
      <c r="G37" s="75"/>
      <c r="H37" s="74"/>
      <c r="I37" s="22"/>
      <c r="J37" s="124"/>
      <c r="K37" s="38"/>
      <c r="L37" s="134" t="e">
        <f t="shared" si="3"/>
        <v>#DIV/0!</v>
      </c>
      <c r="M37" s="111">
        <f t="shared" si="4"/>
        <v>0</v>
      </c>
      <c r="N37" s="111" t="str">
        <f t="shared" si="5"/>
        <v>-</v>
      </c>
      <c r="O37" s="3" t="s">
        <v>2</v>
      </c>
      <c r="P37" s="3" t="s">
        <v>2</v>
      </c>
      <c r="Q37" s="3" t="s">
        <v>2</v>
      </c>
      <c r="R37" s="135" t="s">
        <v>2</v>
      </c>
    </row>
    <row r="38" spans="1:26" s="3" customFormat="1" ht="21" customHeight="1">
      <c r="A38" s="32" t="s">
        <v>47</v>
      </c>
      <c r="B38" s="288"/>
      <c r="C38" s="10"/>
      <c r="D38" s="77"/>
      <c r="E38" s="83"/>
      <c r="F38" s="74"/>
      <c r="G38" s="75"/>
      <c r="H38" s="86"/>
      <c r="I38" s="22"/>
      <c r="J38" s="23"/>
      <c r="K38" s="38"/>
      <c r="L38" s="134" t="e">
        <f t="shared" si="3"/>
        <v>#DIV/0!</v>
      </c>
      <c r="M38" s="111">
        <f t="shared" si="4"/>
        <v>0</v>
      </c>
      <c r="N38" s="111" t="str">
        <f t="shared" si="5"/>
        <v>-</v>
      </c>
      <c r="O38" s="3" t="s">
        <v>2</v>
      </c>
      <c r="P38" s="3" t="s">
        <v>2</v>
      </c>
      <c r="Q38" s="3" t="s">
        <v>2</v>
      </c>
      <c r="R38" s="135" t="s">
        <v>2</v>
      </c>
    </row>
    <row r="39" spans="1:26" s="3" customFormat="1" ht="21" customHeight="1">
      <c r="A39" s="32" t="s">
        <v>48</v>
      </c>
      <c r="B39" s="286"/>
      <c r="C39" s="28"/>
      <c r="D39" s="17"/>
      <c r="E39" s="83"/>
      <c r="F39" s="74"/>
      <c r="G39" s="75"/>
      <c r="H39" s="84"/>
      <c r="I39" s="22"/>
      <c r="J39" s="25"/>
      <c r="K39" s="38"/>
      <c r="L39" s="134" t="e">
        <f t="shared" si="3"/>
        <v>#DIV/0!</v>
      </c>
      <c r="M39" s="111">
        <f t="shared" si="4"/>
        <v>0</v>
      </c>
      <c r="N39" s="111" t="str">
        <f t="shared" si="5"/>
        <v>-</v>
      </c>
      <c r="O39" s="3" t="s">
        <v>2</v>
      </c>
      <c r="P39" s="3" t="s">
        <v>2</v>
      </c>
      <c r="Q39" s="3" t="s">
        <v>2</v>
      </c>
      <c r="R39" s="135" t="s">
        <v>2</v>
      </c>
    </row>
    <row r="40" spans="1:26" s="3" customFormat="1" ht="21" customHeight="1">
      <c r="A40" s="32" t="s">
        <v>49</v>
      </c>
      <c r="B40" s="286"/>
      <c r="C40" s="28"/>
      <c r="D40" s="17"/>
      <c r="E40" s="83"/>
      <c r="F40" s="74"/>
      <c r="G40" s="75"/>
      <c r="H40" s="84"/>
      <c r="I40" s="22"/>
      <c r="J40" s="25"/>
      <c r="K40" s="38"/>
      <c r="L40" s="134" t="e">
        <f t="shared" si="3"/>
        <v>#DIV/0!</v>
      </c>
      <c r="M40" s="111">
        <f t="shared" si="4"/>
        <v>0</v>
      </c>
      <c r="N40" s="111" t="str">
        <f t="shared" si="5"/>
        <v>-</v>
      </c>
      <c r="O40" s="3" t="s">
        <v>2</v>
      </c>
      <c r="P40" s="3" t="s">
        <v>2</v>
      </c>
      <c r="Q40" s="3" t="s">
        <v>2</v>
      </c>
      <c r="R40" s="135" t="s">
        <v>2</v>
      </c>
    </row>
    <row r="41" spans="1:26" s="3" customFormat="1" ht="21" customHeight="1">
      <c r="A41" s="32" t="s">
        <v>50</v>
      </c>
      <c r="B41" s="286"/>
      <c r="C41" s="28"/>
      <c r="D41" s="17"/>
      <c r="E41" s="83"/>
      <c r="F41" s="74"/>
      <c r="G41" s="75"/>
      <c r="H41" s="84"/>
      <c r="I41" s="22"/>
      <c r="J41" s="25"/>
      <c r="K41" s="38"/>
      <c r="L41" s="134" t="e">
        <f t="shared" si="3"/>
        <v>#DIV/0!</v>
      </c>
      <c r="M41" s="111">
        <f t="shared" si="4"/>
        <v>0</v>
      </c>
      <c r="N41" s="111" t="str">
        <f t="shared" si="5"/>
        <v>-</v>
      </c>
      <c r="O41" s="3" t="s">
        <v>2</v>
      </c>
      <c r="P41" s="3" t="s">
        <v>2</v>
      </c>
      <c r="Q41" s="3" t="s">
        <v>2</v>
      </c>
      <c r="R41" s="135" t="s">
        <v>2</v>
      </c>
    </row>
    <row r="42" spans="1:26" s="4" customFormat="1" ht="21" customHeight="1" thickBot="1">
      <c r="A42" s="33" t="s">
        <v>51</v>
      </c>
      <c r="B42" s="291"/>
      <c r="C42" s="19"/>
      <c r="D42" s="120"/>
      <c r="E42" s="85"/>
      <c r="F42" s="80"/>
      <c r="G42" s="81"/>
      <c r="H42" s="123"/>
      <c r="I42" s="27"/>
      <c r="J42" s="125"/>
      <c r="K42" s="34"/>
      <c r="L42" s="134" t="e">
        <f t="shared" si="3"/>
        <v>#DIV/0!</v>
      </c>
      <c r="M42" s="111">
        <f t="shared" si="4"/>
        <v>0</v>
      </c>
      <c r="N42" s="111" t="str">
        <f t="shared" si="5"/>
        <v>-</v>
      </c>
      <c r="O42" s="4" t="s">
        <v>2</v>
      </c>
      <c r="P42" s="4" t="s">
        <v>2</v>
      </c>
      <c r="Q42" s="4" t="s">
        <v>2</v>
      </c>
      <c r="R42" s="137" t="s">
        <v>2</v>
      </c>
    </row>
    <row r="43" spans="1:26" s="7" customFormat="1" ht="21" customHeight="1" thickTop="1">
      <c r="A43" s="35" t="s">
        <v>52</v>
      </c>
      <c r="B43" s="292"/>
      <c r="C43" s="21"/>
      <c r="D43" s="118"/>
      <c r="E43" s="87"/>
      <c r="F43" s="88"/>
      <c r="G43" s="89"/>
      <c r="H43" s="86"/>
      <c r="I43" s="29"/>
      <c r="J43" s="23"/>
      <c r="K43" s="37"/>
      <c r="L43" s="134" t="e">
        <f t="shared" si="3"/>
        <v>#DIV/0!</v>
      </c>
      <c r="M43" s="111">
        <f t="shared" si="4"/>
        <v>0</v>
      </c>
      <c r="N43" s="111" t="str">
        <f t="shared" si="5"/>
        <v>-</v>
      </c>
      <c r="O43" s="3" t="s">
        <v>2</v>
      </c>
      <c r="P43" s="3" t="s">
        <v>2</v>
      </c>
      <c r="Q43" s="3" t="s">
        <v>2</v>
      </c>
      <c r="R43" s="135" t="s">
        <v>2</v>
      </c>
    </row>
    <row r="44" spans="1:26" s="3" customFormat="1" ht="21" customHeight="1">
      <c r="A44" s="32" t="s">
        <v>53</v>
      </c>
      <c r="B44" s="286"/>
      <c r="C44" s="13"/>
      <c r="D44" s="17"/>
      <c r="E44" s="83"/>
      <c r="F44" s="74"/>
      <c r="G44" s="75"/>
      <c r="H44" s="84"/>
      <c r="I44" s="22"/>
      <c r="J44" s="25"/>
      <c r="K44" s="38"/>
      <c r="L44" s="134" t="e">
        <f t="shared" si="3"/>
        <v>#DIV/0!</v>
      </c>
      <c r="M44" s="111">
        <f t="shared" si="4"/>
        <v>0</v>
      </c>
      <c r="N44" s="111" t="str">
        <f t="shared" si="5"/>
        <v>-</v>
      </c>
      <c r="O44" s="3" t="s">
        <v>2</v>
      </c>
      <c r="P44" s="3" t="s">
        <v>2</v>
      </c>
      <c r="Q44" s="3" t="s">
        <v>2</v>
      </c>
      <c r="R44" s="135" t="s">
        <v>2</v>
      </c>
    </row>
    <row r="45" spans="1:26" s="3" customFormat="1" ht="21" customHeight="1">
      <c r="A45" s="32" t="s">
        <v>54</v>
      </c>
      <c r="B45" s="289"/>
      <c r="C45" s="28"/>
      <c r="D45" s="128"/>
      <c r="E45" s="83"/>
      <c r="F45" s="74"/>
      <c r="G45" s="75"/>
      <c r="H45" s="74"/>
      <c r="I45" s="22"/>
      <c r="J45" s="124"/>
      <c r="K45" s="38"/>
      <c r="L45" s="134" t="e">
        <f t="shared" si="3"/>
        <v>#DIV/0!</v>
      </c>
      <c r="M45" s="111">
        <f t="shared" si="4"/>
        <v>0</v>
      </c>
      <c r="N45" s="111" t="str">
        <f t="shared" si="5"/>
        <v>-</v>
      </c>
      <c r="O45" s="3" t="s">
        <v>2</v>
      </c>
      <c r="P45" s="3" t="s">
        <v>2</v>
      </c>
      <c r="Q45" s="3" t="s">
        <v>2</v>
      </c>
      <c r="R45" s="135" t="s">
        <v>2</v>
      </c>
    </row>
    <row r="46" spans="1:26" s="3" customFormat="1" ht="21" customHeight="1">
      <c r="A46" s="32" t="s">
        <v>55</v>
      </c>
      <c r="B46" s="289"/>
      <c r="C46" s="28"/>
      <c r="D46" s="78"/>
      <c r="E46" s="83"/>
      <c r="F46" s="74"/>
      <c r="G46" s="75"/>
      <c r="H46" s="76"/>
      <c r="I46" s="22"/>
      <c r="J46" s="25"/>
      <c r="K46" s="38"/>
      <c r="L46" s="134" t="e">
        <f t="shared" si="3"/>
        <v>#DIV/0!</v>
      </c>
      <c r="M46" s="111">
        <f t="shared" si="4"/>
        <v>0</v>
      </c>
      <c r="N46" s="111" t="str">
        <f t="shared" si="5"/>
        <v>-</v>
      </c>
      <c r="O46" s="3" t="s">
        <v>2</v>
      </c>
      <c r="P46" s="3" t="s">
        <v>2</v>
      </c>
      <c r="Q46" s="3" t="s">
        <v>2</v>
      </c>
      <c r="R46" s="135" t="s">
        <v>2</v>
      </c>
    </row>
    <row r="47" spans="1:26" s="3" customFormat="1" ht="21" customHeight="1">
      <c r="A47" s="35" t="s">
        <v>56</v>
      </c>
      <c r="B47" s="286"/>
      <c r="C47" s="24"/>
      <c r="D47" s="16"/>
      <c r="E47" s="83"/>
      <c r="F47" s="74"/>
      <c r="G47" s="75"/>
      <c r="H47" s="76"/>
      <c r="I47" s="22"/>
      <c r="J47" s="25"/>
      <c r="K47" s="38"/>
      <c r="L47" s="134" t="e">
        <f t="shared" si="3"/>
        <v>#DIV/0!</v>
      </c>
      <c r="M47" s="111">
        <f t="shared" si="4"/>
        <v>0</v>
      </c>
      <c r="N47" s="111" t="str">
        <f t="shared" si="5"/>
        <v>-</v>
      </c>
      <c r="O47" s="3" t="s">
        <v>2</v>
      </c>
      <c r="P47" s="3" t="s">
        <v>2</v>
      </c>
      <c r="Q47" s="3" t="s">
        <v>2</v>
      </c>
      <c r="R47" s="135" t="s">
        <v>2</v>
      </c>
    </row>
    <row r="48" spans="1:26" s="3" customFormat="1" ht="21" customHeight="1">
      <c r="A48" s="32" t="s">
        <v>57</v>
      </c>
      <c r="B48" s="287"/>
      <c r="C48" s="11"/>
      <c r="D48" s="14"/>
      <c r="E48" s="83"/>
      <c r="F48" s="74"/>
      <c r="G48" s="75"/>
      <c r="H48" s="76"/>
      <c r="I48" s="22"/>
      <c r="J48" s="25"/>
      <c r="K48" s="38"/>
      <c r="L48" s="134" t="e">
        <f t="shared" si="3"/>
        <v>#DIV/0!</v>
      </c>
      <c r="M48" s="111">
        <f t="shared" si="4"/>
        <v>0</v>
      </c>
      <c r="N48" s="111" t="str">
        <f t="shared" si="5"/>
        <v>-</v>
      </c>
      <c r="O48" s="3" t="s">
        <v>2</v>
      </c>
      <c r="P48" s="3" t="s">
        <v>2</v>
      </c>
      <c r="Q48" s="3" t="s">
        <v>2</v>
      </c>
      <c r="R48" s="135" t="s">
        <v>2</v>
      </c>
    </row>
    <row r="49" spans="1:18" s="3" customFormat="1" ht="21" customHeight="1">
      <c r="A49" s="32" t="s">
        <v>58</v>
      </c>
      <c r="B49" s="286"/>
      <c r="C49" s="113"/>
      <c r="D49" s="78"/>
      <c r="E49" s="83"/>
      <c r="F49" s="74"/>
      <c r="G49" s="75"/>
      <c r="H49" s="76"/>
      <c r="I49" s="22"/>
      <c r="J49" s="25"/>
      <c r="K49" s="38"/>
      <c r="L49" s="134" t="e">
        <f t="shared" si="3"/>
        <v>#DIV/0!</v>
      </c>
      <c r="M49" s="111">
        <f t="shared" si="4"/>
        <v>0</v>
      </c>
      <c r="N49" s="111" t="str">
        <f t="shared" si="5"/>
        <v>-</v>
      </c>
      <c r="O49" s="3" t="s">
        <v>2</v>
      </c>
      <c r="P49" s="3" t="s">
        <v>2</v>
      </c>
      <c r="Q49" s="3" t="s">
        <v>2</v>
      </c>
      <c r="R49" s="135" t="s">
        <v>2</v>
      </c>
    </row>
    <row r="50" spans="1:18" s="4" customFormat="1" ht="21" customHeight="1" thickBot="1">
      <c r="A50" s="39" t="s">
        <v>59</v>
      </c>
      <c r="B50" s="293"/>
      <c r="C50" s="138"/>
      <c r="D50" s="140"/>
      <c r="E50" s="91"/>
      <c r="F50" s="92"/>
      <c r="G50" s="93"/>
      <c r="H50" s="122"/>
      <c r="I50" s="42"/>
      <c r="J50" s="126"/>
      <c r="K50" s="44"/>
      <c r="L50" s="134" t="e">
        <f t="shared" si="3"/>
        <v>#DIV/0!</v>
      </c>
      <c r="M50" s="111">
        <f t="shared" si="4"/>
        <v>0</v>
      </c>
      <c r="N50" s="111" t="str">
        <f t="shared" si="5"/>
        <v>-</v>
      </c>
      <c r="O50" s="4" t="s">
        <v>2</v>
      </c>
      <c r="P50" s="4" t="s">
        <v>2</v>
      </c>
      <c r="Q50" s="4" t="s">
        <v>2</v>
      </c>
      <c r="R50" s="137" t="s">
        <v>2</v>
      </c>
    </row>
    <row r="51" spans="1:18" s="7" customFormat="1" ht="21" customHeight="1">
      <c r="A51" s="49" t="s">
        <v>60</v>
      </c>
      <c r="B51" s="294"/>
      <c r="C51" s="139"/>
      <c r="D51" s="141"/>
      <c r="E51" s="94"/>
      <c r="F51" s="71"/>
      <c r="G51" s="72"/>
      <c r="H51" s="73"/>
      <c r="I51" s="51"/>
      <c r="J51" s="52"/>
      <c r="K51" s="53"/>
      <c r="L51" s="134" t="e">
        <f t="shared" si="3"/>
        <v>#DIV/0!</v>
      </c>
      <c r="M51" s="111">
        <f t="shared" si="4"/>
        <v>0</v>
      </c>
      <c r="N51" s="111" t="str">
        <f t="shared" si="5"/>
        <v>-</v>
      </c>
      <c r="O51" s="3" t="s">
        <v>2</v>
      </c>
      <c r="P51" s="3" t="s">
        <v>2</v>
      </c>
      <c r="Q51" s="3" t="s">
        <v>2</v>
      </c>
      <c r="R51" s="135" t="s">
        <v>2</v>
      </c>
    </row>
    <row r="52" spans="1:18" s="3" customFormat="1" ht="21" customHeight="1">
      <c r="A52" s="32" t="s">
        <v>61</v>
      </c>
      <c r="B52" s="286"/>
      <c r="C52" s="13"/>
      <c r="D52" s="17"/>
      <c r="E52" s="83"/>
      <c r="F52" s="74"/>
      <c r="G52" s="75"/>
      <c r="H52" s="76"/>
      <c r="I52" s="22"/>
      <c r="J52" s="25"/>
      <c r="K52" s="38"/>
      <c r="L52" s="134" t="e">
        <f t="shared" si="3"/>
        <v>#DIV/0!</v>
      </c>
      <c r="M52" s="111">
        <f t="shared" si="4"/>
        <v>0</v>
      </c>
      <c r="N52" s="111" t="str">
        <f t="shared" si="5"/>
        <v>-</v>
      </c>
      <c r="O52" s="3" t="s">
        <v>2</v>
      </c>
      <c r="P52" s="3" t="s">
        <v>2</v>
      </c>
      <c r="Q52" s="3" t="s">
        <v>2</v>
      </c>
      <c r="R52" s="135" t="s">
        <v>2</v>
      </c>
    </row>
    <row r="53" spans="1:18" s="3" customFormat="1" ht="21" customHeight="1">
      <c r="A53" s="32" t="s">
        <v>62</v>
      </c>
      <c r="B53" s="289"/>
      <c r="C53" s="28"/>
      <c r="D53" s="128"/>
      <c r="E53" s="83"/>
      <c r="F53" s="74"/>
      <c r="G53" s="75"/>
      <c r="H53" s="74"/>
      <c r="I53" s="22"/>
      <c r="J53" s="124"/>
      <c r="K53" s="38"/>
      <c r="L53" s="134" t="e">
        <f t="shared" si="3"/>
        <v>#DIV/0!</v>
      </c>
      <c r="M53" s="111">
        <f t="shared" si="4"/>
        <v>0</v>
      </c>
      <c r="N53" s="111" t="str">
        <f t="shared" si="5"/>
        <v>-</v>
      </c>
      <c r="O53" s="3" t="s">
        <v>2</v>
      </c>
      <c r="P53" s="3" t="s">
        <v>2</v>
      </c>
      <c r="Q53" s="3" t="s">
        <v>2</v>
      </c>
      <c r="R53" s="135" t="s">
        <v>2</v>
      </c>
    </row>
    <row r="54" spans="1:18" s="3" customFormat="1" ht="21" customHeight="1">
      <c r="A54" s="32" t="s">
        <v>63</v>
      </c>
      <c r="B54" s="286"/>
      <c r="C54" s="12"/>
      <c r="D54" s="14"/>
      <c r="E54" s="83"/>
      <c r="F54" s="74"/>
      <c r="G54" s="75"/>
      <c r="H54" s="76"/>
      <c r="I54" s="22"/>
      <c r="J54" s="25"/>
      <c r="K54" s="38"/>
      <c r="L54" s="134" t="e">
        <f t="shared" si="3"/>
        <v>#DIV/0!</v>
      </c>
      <c r="M54" s="111">
        <f t="shared" si="4"/>
        <v>0</v>
      </c>
      <c r="N54" s="111" t="str">
        <f t="shared" si="5"/>
        <v>-</v>
      </c>
      <c r="O54" s="3" t="s">
        <v>2</v>
      </c>
      <c r="P54" s="3" t="s">
        <v>2</v>
      </c>
      <c r="Q54" s="3" t="s">
        <v>2</v>
      </c>
      <c r="R54" s="135" t="s">
        <v>2</v>
      </c>
    </row>
    <row r="55" spans="1:18" s="3" customFormat="1" ht="21" customHeight="1">
      <c r="A55" s="32" t="s">
        <v>64</v>
      </c>
      <c r="B55" s="287"/>
      <c r="C55" s="11"/>
      <c r="D55" s="14"/>
      <c r="E55" s="83"/>
      <c r="F55" s="74"/>
      <c r="G55" s="75"/>
      <c r="H55" s="76"/>
      <c r="I55" s="22"/>
      <c r="J55" s="23"/>
      <c r="K55" s="38"/>
      <c r="L55" s="134" t="e">
        <f t="shared" si="3"/>
        <v>#DIV/0!</v>
      </c>
      <c r="M55" s="111">
        <f t="shared" si="4"/>
        <v>0</v>
      </c>
      <c r="N55" s="111" t="str">
        <f t="shared" si="5"/>
        <v>-</v>
      </c>
      <c r="O55" s="3" t="s">
        <v>2</v>
      </c>
      <c r="P55" s="3" t="s">
        <v>2</v>
      </c>
      <c r="Q55" s="3" t="s">
        <v>2</v>
      </c>
      <c r="R55" s="135" t="s">
        <v>2</v>
      </c>
    </row>
    <row r="56" spans="1:18" s="3" customFormat="1" ht="21" customHeight="1">
      <c r="A56" s="32" t="s">
        <v>65</v>
      </c>
      <c r="B56" s="286"/>
      <c r="C56" s="12"/>
      <c r="D56" s="14"/>
      <c r="E56" s="83"/>
      <c r="F56" s="74"/>
      <c r="G56" s="75"/>
      <c r="H56" s="76"/>
      <c r="I56" s="22"/>
      <c r="J56" s="25"/>
      <c r="K56" s="38"/>
      <c r="L56" s="134" t="e">
        <f t="shared" si="3"/>
        <v>#DIV/0!</v>
      </c>
      <c r="M56" s="111">
        <f t="shared" si="4"/>
        <v>0</v>
      </c>
      <c r="N56" s="111" t="str">
        <f t="shared" si="5"/>
        <v>-</v>
      </c>
      <c r="O56" s="3" t="s">
        <v>2</v>
      </c>
      <c r="P56" s="3" t="s">
        <v>2</v>
      </c>
      <c r="Q56" s="3" t="s">
        <v>2</v>
      </c>
      <c r="R56" s="135" t="s">
        <v>2</v>
      </c>
    </row>
    <row r="57" spans="1:18" s="3" customFormat="1" ht="21" customHeight="1">
      <c r="A57" s="32" t="s">
        <v>66</v>
      </c>
      <c r="B57" s="287"/>
      <c r="C57" s="11"/>
      <c r="D57" s="17"/>
      <c r="E57" s="83"/>
      <c r="F57" s="74"/>
      <c r="G57" s="75"/>
      <c r="H57" s="76"/>
      <c r="I57" s="22"/>
      <c r="J57" s="25"/>
      <c r="K57" s="38"/>
      <c r="L57" s="134" t="e">
        <f t="shared" si="3"/>
        <v>#DIV/0!</v>
      </c>
      <c r="M57" s="111">
        <f t="shared" si="4"/>
        <v>0</v>
      </c>
      <c r="N57" s="111" t="str">
        <f t="shared" si="5"/>
        <v>-</v>
      </c>
      <c r="O57" s="3" t="s">
        <v>2</v>
      </c>
      <c r="P57" s="3" t="s">
        <v>2</v>
      </c>
      <c r="Q57" s="3" t="s">
        <v>2</v>
      </c>
      <c r="R57" s="135" t="s">
        <v>2</v>
      </c>
    </row>
    <row r="58" spans="1:18" s="4" customFormat="1" ht="21" customHeight="1" thickBot="1">
      <c r="A58" s="33" t="s">
        <v>67</v>
      </c>
      <c r="B58" s="295"/>
      <c r="C58" s="115"/>
      <c r="D58" s="119"/>
      <c r="E58" s="85"/>
      <c r="F58" s="80"/>
      <c r="G58" s="81"/>
      <c r="H58" s="121"/>
      <c r="I58" s="27"/>
      <c r="J58" s="125"/>
      <c r="K58" s="34"/>
      <c r="L58" s="134" t="e">
        <f t="shared" si="3"/>
        <v>#DIV/0!</v>
      </c>
      <c r="M58" s="111">
        <f t="shared" si="4"/>
        <v>0</v>
      </c>
      <c r="N58" s="111" t="str">
        <f t="shared" si="5"/>
        <v>-</v>
      </c>
      <c r="O58" s="4" t="s">
        <v>2</v>
      </c>
      <c r="P58" s="4" t="s">
        <v>2</v>
      </c>
      <c r="Q58" s="4" t="s">
        <v>2</v>
      </c>
      <c r="R58" s="137" t="s">
        <v>2</v>
      </c>
    </row>
    <row r="59" spans="1:18" s="7" customFormat="1" ht="21" customHeight="1" thickTop="1">
      <c r="A59" s="35" t="s">
        <v>68</v>
      </c>
      <c r="B59" s="292"/>
      <c r="C59" s="116"/>
      <c r="D59" s="18"/>
      <c r="E59" s="83"/>
      <c r="F59" s="74"/>
      <c r="G59" s="75"/>
      <c r="H59" s="82"/>
      <c r="I59" s="22"/>
      <c r="J59" s="23"/>
      <c r="K59" s="38"/>
      <c r="L59" s="134" t="e">
        <f t="shared" si="3"/>
        <v>#DIV/0!</v>
      </c>
      <c r="M59" s="111">
        <f t="shared" si="4"/>
        <v>0</v>
      </c>
      <c r="N59" s="111" t="str">
        <f t="shared" si="5"/>
        <v>-</v>
      </c>
      <c r="O59" s="3" t="s">
        <v>2</v>
      </c>
      <c r="P59" s="3" t="s">
        <v>2</v>
      </c>
      <c r="Q59" s="3" t="s">
        <v>2</v>
      </c>
      <c r="R59" s="135" t="s">
        <v>2</v>
      </c>
    </row>
    <row r="60" spans="1:18" s="3" customFormat="1" ht="21" customHeight="1">
      <c r="A60" s="32" t="s">
        <v>69</v>
      </c>
      <c r="B60" s="286"/>
      <c r="C60" s="12"/>
      <c r="D60" s="14"/>
      <c r="E60" s="83"/>
      <c r="F60" s="74"/>
      <c r="G60" s="75"/>
      <c r="H60" s="76"/>
      <c r="I60" s="22"/>
      <c r="J60" s="25"/>
      <c r="K60" s="38"/>
      <c r="L60" s="134" t="e">
        <f t="shared" si="3"/>
        <v>#DIV/0!</v>
      </c>
      <c r="M60" s="111">
        <f t="shared" si="4"/>
        <v>0</v>
      </c>
      <c r="N60" s="111" t="str">
        <f t="shared" si="5"/>
        <v>-</v>
      </c>
      <c r="O60" s="3" t="s">
        <v>2</v>
      </c>
      <c r="P60" s="3" t="s">
        <v>2</v>
      </c>
      <c r="Q60" s="3" t="s">
        <v>2</v>
      </c>
      <c r="R60" s="135" t="s">
        <v>2</v>
      </c>
    </row>
    <row r="61" spans="1:18" s="3" customFormat="1" ht="21" customHeight="1">
      <c r="A61" s="32" t="s">
        <v>70</v>
      </c>
      <c r="B61" s="287"/>
      <c r="C61" s="11"/>
      <c r="D61" s="14"/>
      <c r="E61" s="83"/>
      <c r="F61" s="74"/>
      <c r="G61" s="75"/>
      <c r="H61" s="76"/>
      <c r="I61" s="22"/>
      <c r="J61" s="25"/>
      <c r="K61" s="38"/>
      <c r="L61" s="134" t="e">
        <f t="shared" si="3"/>
        <v>#DIV/0!</v>
      </c>
      <c r="M61" s="111">
        <f t="shared" si="4"/>
        <v>0</v>
      </c>
      <c r="N61" s="111" t="str">
        <f t="shared" si="5"/>
        <v>-</v>
      </c>
      <c r="O61" s="3" t="s">
        <v>2</v>
      </c>
      <c r="P61" s="3" t="s">
        <v>2</v>
      </c>
      <c r="Q61" s="3" t="s">
        <v>2</v>
      </c>
      <c r="R61" s="135" t="s">
        <v>2</v>
      </c>
    </row>
    <row r="62" spans="1:18" s="3" customFormat="1" ht="21" customHeight="1">
      <c r="A62" s="32" t="s">
        <v>71</v>
      </c>
      <c r="B62" s="286"/>
      <c r="C62" s="12"/>
      <c r="D62" s="14"/>
      <c r="E62" s="90"/>
      <c r="F62" s="74"/>
      <c r="G62" s="75"/>
      <c r="H62" s="76"/>
      <c r="I62" s="22"/>
      <c r="J62" s="25"/>
      <c r="K62" s="38"/>
      <c r="L62" s="134" t="e">
        <f t="shared" si="3"/>
        <v>#DIV/0!</v>
      </c>
      <c r="M62" s="111">
        <f t="shared" si="4"/>
        <v>0</v>
      </c>
      <c r="N62" s="111" t="str">
        <f t="shared" si="5"/>
        <v>-</v>
      </c>
      <c r="O62" s="3" t="s">
        <v>2</v>
      </c>
      <c r="P62" s="3" t="s">
        <v>2</v>
      </c>
      <c r="Q62" s="3" t="s">
        <v>2</v>
      </c>
      <c r="R62" s="135" t="s">
        <v>2</v>
      </c>
    </row>
    <row r="63" spans="1:18" s="3" customFormat="1" ht="21" customHeight="1">
      <c r="A63" s="32" t="s">
        <v>72</v>
      </c>
      <c r="B63" s="289"/>
      <c r="C63" s="28"/>
      <c r="D63" s="128"/>
      <c r="E63" s="83"/>
      <c r="F63" s="74"/>
      <c r="G63" s="75"/>
      <c r="H63" s="74"/>
      <c r="I63" s="22"/>
      <c r="J63" s="124"/>
      <c r="K63" s="38"/>
      <c r="L63" s="134" t="e">
        <f t="shared" si="3"/>
        <v>#DIV/0!</v>
      </c>
      <c r="M63" s="111">
        <f t="shared" si="4"/>
        <v>0</v>
      </c>
      <c r="N63" s="111" t="str">
        <f t="shared" si="5"/>
        <v>-</v>
      </c>
      <c r="O63" s="3" t="s">
        <v>2</v>
      </c>
      <c r="P63" s="3" t="s">
        <v>2</v>
      </c>
      <c r="Q63" s="3" t="s">
        <v>2</v>
      </c>
      <c r="R63" s="135" t="s">
        <v>2</v>
      </c>
    </row>
    <row r="64" spans="1:18" s="3" customFormat="1" ht="21" customHeight="1">
      <c r="A64" s="32" t="s">
        <v>73</v>
      </c>
      <c r="B64" s="289"/>
      <c r="C64" s="28"/>
      <c r="D64" s="78"/>
      <c r="E64" s="83"/>
      <c r="F64" s="74"/>
      <c r="G64" s="75"/>
      <c r="H64" s="76"/>
      <c r="I64" s="22"/>
      <c r="J64" s="25"/>
      <c r="K64" s="38"/>
      <c r="L64" s="134" t="e">
        <f t="shared" si="3"/>
        <v>#DIV/0!</v>
      </c>
      <c r="M64" s="111">
        <f t="shared" si="4"/>
        <v>0</v>
      </c>
      <c r="N64" s="111" t="str">
        <f t="shared" si="5"/>
        <v>-</v>
      </c>
      <c r="O64" s="3" t="s">
        <v>2</v>
      </c>
      <c r="P64" s="3" t="s">
        <v>2</v>
      </c>
      <c r="Q64" s="3" t="s">
        <v>2</v>
      </c>
      <c r="R64" s="135" t="s">
        <v>2</v>
      </c>
    </row>
    <row r="65" spans="1:18" s="3" customFormat="1" ht="21" customHeight="1">
      <c r="A65" s="32" t="s">
        <v>74</v>
      </c>
      <c r="B65" s="286"/>
      <c r="C65" s="127"/>
      <c r="D65" s="16"/>
      <c r="E65" s="83"/>
      <c r="F65" s="74"/>
      <c r="G65" s="75"/>
      <c r="H65" s="76"/>
      <c r="I65" s="22"/>
      <c r="J65" s="25"/>
      <c r="K65" s="38"/>
      <c r="L65" s="134" t="e">
        <f t="shared" si="3"/>
        <v>#DIV/0!</v>
      </c>
      <c r="M65" s="111">
        <f t="shared" si="4"/>
        <v>0</v>
      </c>
      <c r="N65" s="111" t="str">
        <f t="shared" si="5"/>
        <v>-</v>
      </c>
      <c r="O65" s="3" t="s">
        <v>2</v>
      </c>
      <c r="P65" s="3" t="s">
        <v>2</v>
      </c>
      <c r="Q65" s="3" t="s">
        <v>2</v>
      </c>
      <c r="R65" s="135" t="s">
        <v>2</v>
      </c>
    </row>
    <row r="66" spans="1:18" s="4" customFormat="1" ht="21" customHeight="1" thickBot="1">
      <c r="A66" s="33" t="s">
        <v>75</v>
      </c>
      <c r="B66" s="291"/>
      <c r="C66" s="114"/>
      <c r="D66" s="117"/>
      <c r="E66" s="85"/>
      <c r="F66" s="80"/>
      <c r="G66" s="81"/>
      <c r="H66" s="121"/>
      <c r="I66" s="27"/>
      <c r="J66" s="125"/>
      <c r="K66" s="34"/>
      <c r="L66" s="134" t="e">
        <f t="shared" si="3"/>
        <v>#DIV/0!</v>
      </c>
      <c r="M66" s="111">
        <f t="shared" si="4"/>
        <v>0</v>
      </c>
      <c r="N66" s="111" t="str">
        <f t="shared" si="5"/>
        <v>-</v>
      </c>
      <c r="O66" s="4" t="s">
        <v>2</v>
      </c>
      <c r="P66" s="4" t="s">
        <v>2</v>
      </c>
      <c r="Q66" s="4" t="s">
        <v>2</v>
      </c>
      <c r="R66" s="137" t="s">
        <v>2</v>
      </c>
    </row>
    <row r="67" spans="1:18" s="7" customFormat="1" ht="21" customHeight="1" thickTop="1">
      <c r="A67" s="32" t="s">
        <v>76</v>
      </c>
      <c r="B67" s="288"/>
      <c r="C67" s="127"/>
      <c r="D67" s="129"/>
      <c r="E67" s="83"/>
      <c r="F67" s="74"/>
      <c r="G67" s="75"/>
      <c r="H67" s="82"/>
      <c r="I67" s="22"/>
      <c r="J67" s="23"/>
      <c r="K67" s="38"/>
      <c r="L67" s="134" t="e">
        <f t="shared" ref="L67:L98" si="6">ROUNDDOWN(IF((1/H67)&gt;8,8,1/H67),1)</f>
        <v>#DIV/0!</v>
      </c>
      <c r="M67" s="111">
        <f t="shared" ref="M67:M98" si="7">IF(I67="",H67*J67,H67*J67/I67)</f>
        <v>0</v>
      </c>
      <c r="N67" s="111" t="str">
        <f t="shared" ref="N67:N98" si="8">IF(ROUNDDOWN(M67*20,0)=0,"-", ROUNDDOWN(M67*20,0))</f>
        <v>-</v>
      </c>
      <c r="O67" s="3" t="s">
        <v>2</v>
      </c>
      <c r="P67" s="3" t="s">
        <v>2</v>
      </c>
      <c r="Q67" s="3" t="s">
        <v>2</v>
      </c>
      <c r="R67" s="135" t="s">
        <v>2</v>
      </c>
    </row>
    <row r="68" spans="1:18" s="3" customFormat="1" ht="21" customHeight="1">
      <c r="A68" s="32" t="s">
        <v>77</v>
      </c>
      <c r="B68" s="286"/>
      <c r="C68" s="24"/>
      <c r="D68" s="16"/>
      <c r="E68" s="83"/>
      <c r="F68" s="74"/>
      <c r="G68" s="75"/>
      <c r="H68" s="76"/>
      <c r="I68" s="22"/>
      <c r="J68" s="25"/>
      <c r="K68" s="38"/>
      <c r="L68" s="134" t="e">
        <f t="shared" si="6"/>
        <v>#DIV/0!</v>
      </c>
      <c r="M68" s="111">
        <f t="shared" si="7"/>
        <v>0</v>
      </c>
      <c r="N68" s="111" t="str">
        <f t="shared" si="8"/>
        <v>-</v>
      </c>
      <c r="O68" s="3" t="s">
        <v>2</v>
      </c>
      <c r="P68" s="3" t="s">
        <v>2</v>
      </c>
      <c r="Q68" s="3" t="s">
        <v>2</v>
      </c>
      <c r="R68" s="135" t="s">
        <v>2</v>
      </c>
    </row>
    <row r="69" spans="1:18" s="3" customFormat="1" ht="21" customHeight="1">
      <c r="A69" s="32" t="s">
        <v>78</v>
      </c>
      <c r="B69" s="287"/>
      <c r="C69" s="11"/>
      <c r="D69" s="17"/>
      <c r="E69" s="83"/>
      <c r="F69" s="74"/>
      <c r="G69" s="75"/>
      <c r="H69" s="76"/>
      <c r="I69" s="22"/>
      <c r="J69" s="25"/>
      <c r="K69" s="38"/>
      <c r="L69" s="134" t="e">
        <f t="shared" si="6"/>
        <v>#DIV/0!</v>
      </c>
      <c r="M69" s="111">
        <f t="shared" si="7"/>
        <v>0</v>
      </c>
      <c r="N69" s="111" t="str">
        <f t="shared" si="8"/>
        <v>-</v>
      </c>
      <c r="O69" s="3" t="s">
        <v>2</v>
      </c>
      <c r="P69" s="3" t="s">
        <v>2</v>
      </c>
      <c r="Q69" s="3" t="s">
        <v>2</v>
      </c>
      <c r="R69" s="135" t="s">
        <v>2</v>
      </c>
    </row>
    <row r="70" spans="1:18" s="3" customFormat="1" ht="21" customHeight="1">
      <c r="A70" s="32" t="s">
        <v>79</v>
      </c>
      <c r="B70" s="287"/>
      <c r="C70" s="11"/>
      <c r="D70" s="14"/>
      <c r="E70" s="83"/>
      <c r="F70" s="74"/>
      <c r="G70" s="75"/>
      <c r="H70" s="76"/>
      <c r="I70" s="22"/>
      <c r="J70" s="25"/>
      <c r="K70" s="38"/>
      <c r="L70" s="134" t="e">
        <f t="shared" si="6"/>
        <v>#DIV/0!</v>
      </c>
      <c r="M70" s="111">
        <f t="shared" si="7"/>
        <v>0</v>
      </c>
      <c r="N70" s="111" t="str">
        <f t="shared" si="8"/>
        <v>-</v>
      </c>
      <c r="O70" s="3" t="s">
        <v>2</v>
      </c>
      <c r="P70" s="3" t="s">
        <v>2</v>
      </c>
      <c r="Q70" s="3" t="s">
        <v>2</v>
      </c>
      <c r="R70" s="135" t="s">
        <v>2</v>
      </c>
    </row>
    <row r="71" spans="1:18" s="3" customFormat="1" ht="21" customHeight="1">
      <c r="A71" s="32" t="s">
        <v>80</v>
      </c>
      <c r="B71" s="289"/>
      <c r="C71" s="113"/>
      <c r="D71" s="128"/>
      <c r="E71" s="83"/>
      <c r="F71" s="74"/>
      <c r="G71" s="75"/>
      <c r="H71" s="74"/>
      <c r="I71" s="22"/>
      <c r="J71" s="124"/>
      <c r="K71" s="38"/>
      <c r="L71" s="134" t="e">
        <f t="shared" si="6"/>
        <v>#DIV/0!</v>
      </c>
      <c r="M71" s="111">
        <f t="shared" si="7"/>
        <v>0</v>
      </c>
      <c r="N71" s="111" t="str">
        <f t="shared" si="8"/>
        <v>-</v>
      </c>
      <c r="O71" s="3" t="s">
        <v>2</v>
      </c>
      <c r="P71" s="3" t="s">
        <v>2</v>
      </c>
      <c r="Q71" s="3" t="s">
        <v>2</v>
      </c>
      <c r="R71" s="135" t="s">
        <v>2</v>
      </c>
    </row>
    <row r="72" spans="1:18" s="3" customFormat="1" ht="21" customHeight="1">
      <c r="A72" s="32" t="s">
        <v>81</v>
      </c>
      <c r="B72" s="286"/>
      <c r="C72" s="113"/>
      <c r="D72" s="78"/>
      <c r="E72" s="83"/>
      <c r="F72" s="74"/>
      <c r="G72" s="75"/>
      <c r="H72" s="76"/>
      <c r="I72" s="22"/>
      <c r="J72" s="25"/>
      <c r="K72" s="38"/>
      <c r="L72" s="134" t="e">
        <f t="shared" si="6"/>
        <v>#DIV/0!</v>
      </c>
      <c r="M72" s="111">
        <f t="shared" si="7"/>
        <v>0</v>
      </c>
      <c r="N72" s="111" t="str">
        <f t="shared" si="8"/>
        <v>-</v>
      </c>
      <c r="O72" s="3" t="s">
        <v>2</v>
      </c>
      <c r="P72" s="3" t="s">
        <v>2</v>
      </c>
      <c r="Q72" s="3" t="s">
        <v>2</v>
      </c>
      <c r="R72" s="135" t="s">
        <v>2</v>
      </c>
    </row>
    <row r="73" spans="1:18" s="3" customFormat="1" ht="21" customHeight="1">
      <c r="A73" s="32" t="s">
        <v>82</v>
      </c>
      <c r="B73" s="286"/>
      <c r="C73" s="28"/>
      <c r="D73" s="78"/>
      <c r="E73" s="83"/>
      <c r="F73" s="74"/>
      <c r="G73" s="75"/>
      <c r="H73" s="76"/>
      <c r="I73" s="22"/>
      <c r="J73" s="25"/>
      <c r="K73" s="38"/>
      <c r="L73" s="134" t="e">
        <f t="shared" si="6"/>
        <v>#DIV/0!</v>
      </c>
      <c r="M73" s="111">
        <f t="shared" si="7"/>
        <v>0</v>
      </c>
      <c r="N73" s="111" t="str">
        <f t="shared" si="8"/>
        <v>-</v>
      </c>
      <c r="O73" s="3" t="s">
        <v>2</v>
      </c>
      <c r="P73" s="3" t="s">
        <v>2</v>
      </c>
      <c r="Q73" s="3" t="s">
        <v>2</v>
      </c>
      <c r="R73" s="135" t="s">
        <v>2</v>
      </c>
    </row>
    <row r="74" spans="1:18" s="4" customFormat="1" ht="21" customHeight="1" thickBot="1">
      <c r="A74" s="33" t="s">
        <v>83</v>
      </c>
      <c r="B74" s="290"/>
      <c r="C74" s="26"/>
      <c r="D74" s="15"/>
      <c r="E74" s="85"/>
      <c r="F74" s="80"/>
      <c r="G74" s="81"/>
      <c r="H74" s="80"/>
      <c r="I74" s="27"/>
      <c r="J74" s="5"/>
      <c r="K74" s="34"/>
      <c r="L74" s="134" t="e">
        <f t="shared" si="6"/>
        <v>#DIV/0!</v>
      </c>
      <c r="M74" s="111">
        <f t="shared" si="7"/>
        <v>0</v>
      </c>
      <c r="N74" s="111" t="str">
        <f t="shared" si="8"/>
        <v>-</v>
      </c>
      <c r="O74" s="4" t="s">
        <v>2</v>
      </c>
      <c r="P74" s="4" t="s">
        <v>2</v>
      </c>
      <c r="Q74" s="4" t="s">
        <v>2</v>
      </c>
      <c r="R74" s="137" t="s">
        <v>2</v>
      </c>
    </row>
    <row r="75" spans="1:18" s="7" customFormat="1" ht="21" customHeight="1" thickTop="1">
      <c r="A75" s="35" t="s">
        <v>84</v>
      </c>
      <c r="B75" s="288"/>
      <c r="C75" s="10"/>
      <c r="D75" s="77"/>
      <c r="E75" s="83"/>
      <c r="F75" s="74"/>
      <c r="G75" s="75"/>
      <c r="H75" s="86"/>
      <c r="I75" s="22"/>
      <c r="J75" s="23"/>
      <c r="K75" s="38"/>
      <c r="L75" s="134" t="e">
        <f t="shared" si="6"/>
        <v>#DIV/0!</v>
      </c>
      <c r="M75" s="111">
        <f t="shared" si="7"/>
        <v>0</v>
      </c>
      <c r="N75" s="111" t="str">
        <f t="shared" si="8"/>
        <v>-</v>
      </c>
      <c r="O75" s="3"/>
      <c r="P75" s="3"/>
      <c r="Q75" s="3"/>
      <c r="R75" s="135"/>
    </row>
    <row r="76" spans="1:18" s="3" customFormat="1" ht="21" customHeight="1">
      <c r="A76" s="32" t="s">
        <v>85</v>
      </c>
      <c r="B76" s="286"/>
      <c r="C76" s="28"/>
      <c r="D76" s="17"/>
      <c r="E76" s="83"/>
      <c r="F76" s="74"/>
      <c r="G76" s="75"/>
      <c r="H76" s="84"/>
      <c r="I76" s="22"/>
      <c r="J76" s="25"/>
      <c r="K76" s="38"/>
      <c r="L76" s="134" t="e">
        <f t="shared" si="6"/>
        <v>#DIV/0!</v>
      </c>
      <c r="M76" s="111">
        <f t="shared" si="7"/>
        <v>0</v>
      </c>
      <c r="N76" s="111" t="str">
        <f t="shared" si="8"/>
        <v>-</v>
      </c>
      <c r="R76" s="135"/>
    </row>
    <row r="77" spans="1:18" s="3" customFormat="1" ht="21" customHeight="1">
      <c r="A77" s="32" t="s">
        <v>86</v>
      </c>
      <c r="B77" s="286"/>
      <c r="C77" s="28"/>
      <c r="D77" s="17"/>
      <c r="E77" s="83"/>
      <c r="F77" s="74"/>
      <c r="G77" s="75"/>
      <c r="H77" s="84"/>
      <c r="I77" s="22"/>
      <c r="J77" s="25"/>
      <c r="K77" s="38"/>
      <c r="L77" s="134" t="e">
        <f t="shared" si="6"/>
        <v>#DIV/0!</v>
      </c>
      <c r="M77" s="111">
        <f t="shared" si="7"/>
        <v>0</v>
      </c>
      <c r="N77" s="111" t="str">
        <f t="shared" si="8"/>
        <v>-</v>
      </c>
      <c r="R77" s="135"/>
    </row>
    <row r="78" spans="1:18" s="3" customFormat="1" ht="21" customHeight="1">
      <c r="A78" s="32" t="s">
        <v>87</v>
      </c>
      <c r="B78" s="286"/>
      <c r="C78" s="28"/>
      <c r="D78" s="17"/>
      <c r="E78" s="83"/>
      <c r="F78" s="74"/>
      <c r="G78" s="75"/>
      <c r="H78" s="84"/>
      <c r="I78" s="22"/>
      <c r="J78" s="25"/>
      <c r="K78" s="38"/>
      <c r="L78" s="134" t="e">
        <f t="shared" si="6"/>
        <v>#DIV/0!</v>
      </c>
      <c r="M78" s="111">
        <f t="shared" si="7"/>
        <v>0</v>
      </c>
      <c r="N78" s="111" t="str">
        <f t="shared" si="8"/>
        <v>-</v>
      </c>
      <c r="R78" s="135"/>
    </row>
    <row r="79" spans="1:18" s="3" customFormat="1" ht="21" customHeight="1">
      <c r="A79" s="32" t="s">
        <v>88</v>
      </c>
      <c r="B79" s="286"/>
      <c r="C79" s="28"/>
      <c r="D79" s="17"/>
      <c r="E79" s="83"/>
      <c r="F79" s="74"/>
      <c r="G79" s="75"/>
      <c r="H79" s="84"/>
      <c r="I79" s="22"/>
      <c r="J79" s="25"/>
      <c r="K79" s="38"/>
      <c r="L79" s="134" t="e">
        <f t="shared" si="6"/>
        <v>#DIV/0!</v>
      </c>
      <c r="M79" s="111">
        <f t="shared" si="7"/>
        <v>0</v>
      </c>
      <c r="N79" s="111" t="str">
        <f t="shared" si="8"/>
        <v>-</v>
      </c>
      <c r="R79" s="135"/>
    </row>
    <row r="80" spans="1:18" s="3" customFormat="1" ht="21" customHeight="1">
      <c r="A80" s="32" t="s">
        <v>89</v>
      </c>
      <c r="B80" s="287"/>
      <c r="C80" s="28"/>
      <c r="D80" s="17"/>
      <c r="E80" s="83"/>
      <c r="F80" s="74"/>
      <c r="G80" s="75"/>
      <c r="H80" s="84"/>
      <c r="I80" s="22"/>
      <c r="J80" s="25"/>
      <c r="K80" s="38"/>
      <c r="L80" s="134" t="e">
        <f t="shared" si="6"/>
        <v>#DIV/0!</v>
      </c>
      <c r="M80" s="111">
        <f t="shared" si="7"/>
        <v>0</v>
      </c>
      <c r="N80" s="111" t="str">
        <f t="shared" si="8"/>
        <v>-</v>
      </c>
      <c r="R80" s="135"/>
    </row>
    <row r="81" spans="1:18" s="3" customFormat="1" ht="21" customHeight="1">
      <c r="A81" s="32" t="s">
        <v>90</v>
      </c>
      <c r="B81" s="286"/>
      <c r="C81" s="13"/>
      <c r="D81" s="17"/>
      <c r="E81" s="83"/>
      <c r="F81" s="74"/>
      <c r="G81" s="75"/>
      <c r="H81" s="84"/>
      <c r="I81" s="22"/>
      <c r="J81" s="25"/>
      <c r="K81" s="38"/>
      <c r="L81" s="134" t="e">
        <f t="shared" si="6"/>
        <v>#DIV/0!</v>
      </c>
      <c r="M81" s="111">
        <f t="shared" si="7"/>
        <v>0</v>
      </c>
      <c r="N81" s="111" t="str">
        <f t="shared" si="8"/>
        <v>-</v>
      </c>
      <c r="R81" s="135"/>
    </row>
    <row r="82" spans="1:18" s="4" customFormat="1" ht="21" customHeight="1" thickBot="1">
      <c r="A82" s="33" t="s">
        <v>91</v>
      </c>
      <c r="B82" s="290"/>
      <c r="C82" s="19"/>
      <c r="D82" s="15"/>
      <c r="E82" s="85"/>
      <c r="F82" s="80"/>
      <c r="G82" s="81"/>
      <c r="H82" s="80"/>
      <c r="I82" s="27"/>
      <c r="J82" s="5"/>
      <c r="K82" s="34"/>
      <c r="L82" s="134" t="e">
        <f t="shared" si="6"/>
        <v>#DIV/0!</v>
      </c>
      <c r="M82" s="111">
        <f t="shared" si="7"/>
        <v>0</v>
      </c>
      <c r="N82" s="111" t="str">
        <f t="shared" si="8"/>
        <v>-</v>
      </c>
      <c r="R82" s="137"/>
    </row>
    <row r="83" spans="1:18" s="7" customFormat="1" ht="21" customHeight="1" thickTop="1">
      <c r="A83" s="32" t="s">
        <v>92</v>
      </c>
      <c r="B83" s="296"/>
      <c r="C83" s="21"/>
      <c r="D83" s="77"/>
      <c r="E83" s="83"/>
      <c r="F83" s="74"/>
      <c r="G83" s="75"/>
      <c r="H83" s="82"/>
      <c r="I83" s="22"/>
      <c r="J83" s="23"/>
      <c r="K83" s="38"/>
      <c r="L83" s="134" t="e">
        <f t="shared" si="6"/>
        <v>#DIV/0!</v>
      </c>
      <c r="M83" s="111">
        <f t="shared" si="7"/>
        <v>0</v>
      </c>
      <c r="N83" s="111" t="str">
        <f t="shared" si="8"/>
        <v>-</v>
      </c>
      <c r="O83" s="3"/>
      <c r="P83" s="3"/>
      <c r="Q83" s="3"/>
      <c r="R83" s="135"/>
    </row>
    <row r="84" spans="1:18" s="3" customFormat="1" ht="21" customHeight="1">
      <c r="A84" s="32" t="s">
        <v>93</v>
      </c>
      <c r="B84" s="286"/>
      <c r="C84" s="24"/>
      <c r="D84" s="16"/>
      <c r="E84" s="83"/>
      <c r="F84" s="74"/>
      <c r="G84" s="75"/>
      <c r="H84" s="76"/>
      <c r="I84" s="22"/>
      <c r="J84" s="25"/>
      <c r="K84" s="38"/>
      <c r="L84" s="134" t="e">
        <f t="shared" si="6"/>
        <v>#DIV/0!</v>
      </c>
      <c r="M84" s="111">
        <f t="shared" si="7"/>
        <v>0</v>
      </c>
      <c r="N84" s="111" t="str">
        <f t="shared" si="8"/>
        <v>-</v>
      </c>
      <c r="R84" s="135"/>
    </row>
    <row r="85" spans="1:18" s="3" customFormat="1" ht="21" customHeight="1">
      <c r="A85" s="32" t="s">
        <v>94</v>
      </c>
      <c r="B85" s="287"/>
      <c r="C85" s="11"/>
      <c r="D85" s="14"/>
      <c r="E85" s="83"/>
      <c r="F85" s="74"/>
      <c r="G85" s="75"/>
      <c r="H85" s="76"/>
      <c r="I85" s="22"/>
      <c r="J85" s="25"/>
      <c r="K85" s="38"/>
      <c r="L85" s="134" t="e">
        <f t="shared" si="6"/>
        <v>#DIV/0!</v>
      </c>
      <c r="M85" s="111">
        <f t="shared" si="7"/>
        <v>0</v>
      </c>
      <c r="N85" s="111" t="str">
        <f t="shared" si="8"/>
        <v>-</v>
      </c>
      <c r="R85" s="135"/>
    </row>
    <row r="86" spans="1:18" s="3" customFormat="1" ht="21" customHeight="1">
      <c r="A86" s="32" t="s">
        <v>95</v>
      </c>
      <c r="B86" s="288"/>
      <c r="C86" s="10"/>
      <c r="D86" s="77"/>
      <c r="E86" s="83"/>
      <c r="F86" s="74"/>
      <c r="G86" s="75"/>
      <c r="H86" s="82"/>
      <c r="I86" s="22"/>
      <c r="J86" s="23"/>
      <c r="K86" s="38"/>
      <c r="L86" s="134" t="e">
        <f t="shared" si="6"/>
        <v>#DIV/0!</v>
      </c>
      <c r="M86" s="111">
        <f t="shared" si="7"/>
        <v>0</v>
      </c>
      <c r="N86" s="111" t="str">
        <f t="shared" si="8"/>
        <v>-</v>
      </c>
      <c r="R86" s="135"/>
    </row>
    <row r="87" spans="1:18" s="3" customFormat="1" ht="21" customHeight="1">
      <c r="A87" s="32" t="s">
        <v>96</v>
      </c>
      <c r="B87" s="286"/>
      <c r="C87" s="13"/>
      <c r="D87" s="17"/>
      <c r="E87" s="83"/>
      <c r="F87" s="74"/>
      <c r="G87" s="75"/>
      <c r="H87" s="76"/>
      <c r="I87" s="22"/>
      <c r="J87" s="25"/>
      <c r="K87" s="38"/>
      <c r="L87" s="134" t="e">
        <f t="shared" si="6"/>
        <v>#DIV/0!</v>
      </c>
      <c r="M87" s="111">
        <f t="shared" si="7"/>
        <v>0</v>
      </c>
      <c r="N87" s="111" t="str">
        <f t="shared" si="8"/>
        <v>-</v>
      </c>
      <c r="R87" s="135"/>
    </row>
    <row r="88" spans="1:18" s="3" customFormat="1" ht="21" customHeight="1">
      <c r="A88" s="32" t="s">
        <v>97</v>
      </c>
      <c r="B88" s="287"/>
      <c r="C88" s="11"/>
      <c r="D88" s="17"/>
      <c r="E88" s="83"/>
      <c r="F88" s="74"/>
      <c r="G88" s="75"/>
      <c r="H88" s="76"/>
      <c r="I88" s="22"/>
      <c r="J88" s="25"/>
      <c r="K88" s="38"/>
      <c r="L88" s="134" t="e">
        <f t="shared" si="6"/>
        <v>#DIV/0!</v>
      </c>
      <c r="M88" s="111">
        <f t="shared" si="7"/>
        <v>0</v>
      </c>
      <c r="N88" s="111" t="str">
        <f t="shared" si="8"/>
        <v>-</v>
      </c>
      <c r="R88" s="135"/>
    </row>
    <row r="89" spans="1:18" s="3" customFormat="1" ht="21" customHeight="1">
      <c r="A89" s="32" t="s">
        <v>98</v>
      </c>
      <c r="B89" s="286"/>
      <c r="C89" s="13"/>
      <c r="D89" s="17"/>
      <c r="E89" s="83"/>
      <c r="F89" s="74"/>
      <c r="G89" s="75"/>
      <c r="H89" s="76"/>
      <c r="I89" s="22"/>
      <c r="J89" s="25"/>
      <c r="K89" s="38"/>
      <c r="L89" s="134" t="e">
        <f t="shared" si="6"/>
        <v>#DIV/0!</v>
      </c>
      <c r="M89" s="111">
        <f t="shared" si="7"/>
        <v>0</v>
      </c>
      <c r="N89" s="111" t="str">
        <f t="shared" si="8"/>
        <v>-</v>
      </c>
      <c r="R89" s="135"/>
    </row>
    <row r="90" spans="1:18" s="4" customFormat="1" ht="21" customHeight="1" thickBot="1">
      <c r="A90" s="33" t="s">
        <v>99</v>
      </c>
      <c r="B90" s="290"/>
      <c r="C90" s="19"/>
      <c r="D90" s="15"/>
      <c r="E90" s="85"/>
      <c r="F90" s="80"/>
      <c r="G90" s="81"/>
      <c r="H90" s="80"/>
      <c r="I90" s="27"/>
      <c r="J90" s="5"/>
      <c r="K90" s="34"/>
      <c r="L90" s="134" t="e">
        <f t="shared" si="6"/>
        <v>#DIV/0!</v>
      </c>
      <c r="M90" s="111">
        <f t="shared" si="7"/>
        <v>0</v>
      </c>
      <c r="N90" s="111" t="str">
        <f t="shared" si="8"/>
        <v>-</v>
      </c>
      <c r="R90" s="137"/>
    </row>
    <row r="91" spans="1:18" s="7" customFormat="1" ht="21" customHeight="1" thickTop="1">
      <c r="A91" s="35" t="s">
        <v>100</v>
      </c>
      <c r="B91" s="288"/>
      <c r="C91" s="20"/>
      <c r="D91" s="18"/>
      <c r="E91" s="87"/>
      <c r="F91" s="88"/>
      <c r="G91" s="89"/>
      <c r="H91" s="82"/>
      <c r="I91" s="29"/>
      <c r="J91" s="23"/>
      <c r="K91" s="37"/>
      <c r="L91" s="134" t="e">
        <f t="shared" si="6"/>
        <v>#DIV/0!</v>
      </c>
      <c r="M91" s="111">
        <f t="shared" si="7"/>
        <v>0</v>
      </c>
      <c r="N91" s="111" t="str">
        <f t="shared" si="8"/>
        <v>-</v>
      </c>
      <c r="O91" s="3"/>
      <c r="P91" s="3"/>
      <c r="Q91" s="3"/>
      <c r="R91" s="135"/>
    </row>
    <row r="92" spans="1:18" s="3" customFormat="1" ht="21" customHeight="1">
      <c r="A92" s="32" t="s">
        <v>101</v>
      </c>
      <c r="B92" s="287"/>
      <c r="C92" s="11"/>
      <c r="D92" s="14"/>
      <c r="E92" s="83"/>
      <c r="F92" s="74"/>
      <c r="G92" s="75"/>
      <c r="H92" s="76"/>
      <c r="I92" s="22"/>
      <c r="J92" s="25"/>
      <c r="K92" s="38"/>
      <c r="L92" s="134" t="e">
        <f t="shared" si="6"/>
        <v>#DIV/0!</v>
      </c>
      <c r="M92" s="111">
        <f t="shared" si="7"/>
        <v>0</v>
      </c>
      <c r="N92" s="111" t="str">
        <f t="shared" si="8"/>
        <v>-</v>
      </c>
      <c r="R92" s="135"/>
    </row>
    <row r="93" spans="1:18" s="3" customFormat="1" ht="21" customHeight="1">
      <c r="A93" s="32" t="s">
        <v>102</v>
      </c>
      <c r="B93" s="286"/>
      <c r="C93" s="12"/>
      <c r="D93" s="14"/>
      <c r="E93" s="83"/>
      <c r="F93" s="74"/>
      <c r="G93" s="75"/>
      <c r="H93" s="76"/>
      <c r="I93" s="22"/>
      <c r="J93" s="25"/>
      <c r="K93" s="38"/>
      <c r="L93" s="134" t="e">
        <f t="shared" si="6"/>
        <v>#DIV/0!</v>
      </c>
      <c r="M93" s="111">
        <f t="shared" si="7"/>
        <v>0</v>
      </c>
      <c r="N93" s="111" t="str">
        <f t="shared" si="8"/>
        <v>-</v>
      </c>
      <c r="R93" s="135"/>
    </row>
    <row r="94" spans="1:18" s="3" customFormat="1" ht="21" customHeight="1">
      <c r="A94" s="32" t="s">
        <v>103</v>
      </c>
      <c r="B94" s="287"/>
      <c r="C94" s="11"/>
      <c r="D94" s="14"/>
      <c r="E94" s="83"/>
      <c r="F94" s="74"/>
      <c r="G94" s="75"/>
      <c r="H94" s="76"/>
      <c r="I94" s="22"/>
      <c r="J94" s="25"/>
      <c r="K94" s="38"/>
      <c r="L94" s="134" t="e">
        <f t="shared" si="6"/>
        <v>#DIV/0!</v>
      </c>
      <c r="M94" s="111">
        <f t="shared" si="7"/>
        <v>0</v>
      </c>
      <c r="N94" s="111" t="str">
        <f t="shared" si="8"/>
        <v>-</v>
      </c>
      <c r="R94" s="135"/>
    </row>
    <row r="95" spans="1:18" s="3" customFormat="1" ht="21" customHeight="1">
      <c r="A95" s="35" t="s">
        <v>104</v>
      </c>
      <c r="B95" s="286"/>
      <c r="C95" s="12"/>
      <c r="D95" s="14"/>
      <c r="E95" s="83"/>
      <c r="F95" s="74"/>
      <c r="G95" s="75"/>
      <c r="H95" s="76"/>
      <c r="I95" s="22"/>
      <c r="J95" s="25"/>
      <c r="K95" s="38"/>
      <c r="L95" s="134" t="e">
        <f t="shared" si="6"/>
        <v>#DIV/0!</v>
      </c>
      <c r="M95" s="111">
        <f t="shared" si="7"/>
        <v>0</v>
      </c>
      <c r="N95" s="111" t="str">
        <f t="shared" si="8"/>
        <v>-</v>
      </c>
      <c r="R95" s="135"/>
    </row>
    <row r="96" spans="1:18" s="3" customFormat="1" ht="21" customHeight="1">
      <c r="A96" s="32" t="s">
        <v>105</v>
      </c>
      <c r="B96" s="287"/>
      <c r="C96" s="11"/>
      <c r="D96" s="14"/>
      <c r="E96" s="83"/>
      <c r="F96" s="74"/>
      <c r="G96" s="75"/>
      <c r="H96" s="76"/>
      <c r="I96" s="22"/>
      <c r="J96" s="25"/>
      <c r="K96" s="38"/>
      <c r="L96" s="134" t="e">
        <f t="shared" si="6"/>
        <v>#DIV/0!</v>
      </c>
      <c r="M96" s="111">
        <f t="shared" si="7"/>
        <v>0</v>
      </c>
      <c r="N96" s="111" t="str">
        <f t="shared" si="8"/>
        <v>-</v>
      </c>
      <c r="R96" s="135"/>
    </row>
    <row r="97" spans="1:18" s="3" customFormat="1" ht="21" customHeight="1">
      <c r="A97" s="32" t="s">
        <v>106</v>
      </c>
      <c r="B97" s="286"/>
      <c r="C97" s="12"/>
      <c r="D97" s="14"/>
      <c r="E97" s="90"/>
      <c r="F97" s="74"/>
      <c r="G97" s="75"/>
      <c r="H97" s="76"/>
      <c r="I97" s="22"/>
      <c r="J97" s="25"/>
      <c r="K97" s="38"/>
      <c r="L97" s="134" t="e">
        <f t="shared" si="6"/>
        <v>#DIV/0!</v>
      </c>
      <c r="M97" s="111">
        <f t="shared" si="7"/>
        <v>0</v>
      </c>
      <c r="N97" s="111" t="str">
        <f t="shared" si="8"/>
        <v>-</v>
      </c>
      <c r="R97" s="135"/>
    </row>
    <row r="98" spans="1:18" s="4" customFormat="1" ht="21" customHeight="1" thickBot="1">
      <c r="A98" s="39" t="s">
        <v>107</v>
      </c>
      <c r="B98" s="297"/>
      <c r="C98" s="40"/>
      <c r="D98" s="41"/>
      <c r="E98" s="91"/>
      <c r="F98" s="92"/>
      <c r="G98" s="93"/>
      <c r="H98" s="92"/>
      <c r="I98" s="42"/>
      <c r="J98" s="43"/>
      <c r="K98" s="44"/>
      <c r="L98" s="134" t="e">
        <f t="shared" si="6"/>
        <v>#DIV/0!</v>
      </c>
      <c r="M98" s="111">
        <f t="shared" si="7"/>
        <v>0</v>
      </c>
      <c r="N98" s="136" t="str">
        <f>IF(ROUNDDOWN(M98*30,0)=0,"-", ROUNDDOWN(M98*30,0))</f>
        <v>-</v>
      </c>
      <c r="R98" s="137"/>
    </row>
    <row r="99" spans="1:18" s="3" customFormat="1" ht="21" customHeight="1">
      <c r="A99" s="49" t="s">
        <v>108</v>
      </c>
      <c r="B99" s="285"/>
      <c r="C99" s="50"/>
      <c r="D99" s="70"/>
      <c r="E99" s="94"/>
      <c r="F99" s="95"/>
      <c r="G99" s="96"/>
      <c r="H99" s="97"/>
      <c r="I99" s="51"/>
      <c r="J99" s="52"/>
      <c r="K99" s="53"/>
    </row>
    <row r="100" spans="1:18" s="3" customFormat="1" ht="21" customHeight="1">
      <c r="A100" s="32" t="s">
        <v>109</v>
      </c>
      <c r="B100" s="286"/>
      <c r="C100" s="24"/>
      <c r="D100" s="16"/>
      <c r="E100" s="83"/>
      <c r="F100" s="98"/>
      <c r="G100" s="99"/>
      <c r="H100" s="100"/>
      <c r="I100" s="22"/>
      <c r="J100" s="25"/>
      <c r="K100" s="38"/>
    </row>
    <row r="101" spans="1:18" s="3" customFormat="1" ht="21" customHeight="1">
      <c r="A101" s="32" t="s">
        <v>110</v>
      </c>
      <c r="B101" s="286"/>
      <c r="C101" s="24"/>
      <c r="D101" s="16"/>
      <c r="E101" s="83"/>
      <c r="F101" s="98"/>
      <c r="G101" s="99"/>
      <c r="H101" s="100"/>
      <c r="I101" s="22"/>
      <c r="J101" s="25"/>
      <c r="K101" s="38"/>
    </row>
    <row r="102" spans="1:18" s="3" customFormat="1" ht="21" customHeight="1">
      <c r="A102" s="32" t="s">
        <v>111</v>
      </c>
      <c r="B102" s="286"/>
      <c r="C102" s="24"/>
      <c r="D102" s="16"/>
      <c r="E102" s="83"/>
      <c r="F102" s="98"/>
      <c r="G102" s="99"/>
      <c r="H102" s="100"/>
      <c r="I102" s="22"/>
      <c r="J102" s="25"/>
      <c r="K102" s="38"/>
    </row>
    <row r="103" spans="1:18" s="3" customFormat="1" ht="21" customHeight="1">
      <c r="A103" s="32" t="s">
        <v>112</v>
      </c>
      <c r="B103" s="286"/>
      <c r="C103" s="24"/>
      <c r="D103" s="16"/>
      <c r="E103" s="83"/>
      <c r="F103" s="98"/>
      <c r="G103" s="99"/>
      <c r="H103" s="100"/>
      <c r="I103" s="22"/>
      <c r="J103" s="23"/>
      <c r="K103" s="38"/>
    </row>
    <row r="104" spans="1:18" s="3" customFormat="1" ht="21" customHeight="1">
      <c r="A104" s="32" t="s">
        <v>113</v>
      </c>
      <c r="B104" s="287"/>
      <c r="C104" s="11"/>
      <c r="D104" s="17"/>
      <c r="E104" s="83"/>
      <c r="F104" s="98"/>
      <c r="G104" s="99"/>
      <c r="H104" s="100"/>
      <c r="I104" s="22"/>
      <c r="J104" s="25"/>
      <c r="K104" s="38"/>
    </row>
    <row r="105" spans="1:18" s="3" customFormat="1" ht="21" customHeight="1">
      <c r="A105" s="32" t="s">
        <v>114</v>
      </c>
      <c r="B105" s="287"/>
      <c r="C105" s="11"/>
      <c r="D105" s="14"/>
      <c r="E105" s="83"/>
      <c r="F105" s="98"/>
      <c r="G105" s="99"/>
      <c r="H105" s="100"/>
      <c r="I105" s="22"/>
      <c r="J105" s="25"/>
      <c r="K105" s="38"/>
    </row>
    <row r="106" spans="1:18" s="3" customFormat="1" ht="21" customHeight="1" thickBot="1">
      <c r="A106" s="33" t="s">
        <v>115</v>
      </c>
      <c r="B106" s="290"/>
      <c r="C106" s="26"/>
      <c r="D106" s="15"/>
      <c r="E106" s="85"/>
      <c r="F106" s="101"/>
      <c r="G106" s="102"/>
      <c r="H106" s="101"/>
      <c r="I106" s="27"/>
      <c r="J106" s="5"/>
      <c r="K106" s="34"/>
    </row>
    <row r="107" spans="1:18" s="3" customFormat="1" ht="21" customHeight="1" thickTop="1">
      <c r="A107" s="35" t="s">
        <v>116</v>
      </c>
      <c r="B107" s="288"/>
      <c r="C107" s="10"/>
      <c r="D107" s="77"/>
      <c r="E107" s="83"/>
      <c r="F107" s="98"/>
      <c r="G107" s="99"/>
      <c r="H107" s="103"/>
      <c r="I107" s="22"/>
      <c r="J107" s="23"/>
      <c r="K107" s="38"/>
    </row>
    <row r="108" spans="1:18" s="3" customFormat="1" ht="21" customHeight="1">
      <c r="A108" s="32" t="s">
        <v>117</v>
      </c>
      <c r="B108" s="286"/>
      <c r="C108" s="28"/>
      <c r="D108" s="78"/>
      <c r="E108" s="83"/>
      <c r="F108" s="98"/>
      <c r="G108" s="99"/>
      <c r="H108" s="100"/>
      <c r="I108" s="22"/>
      <c r="J108" s="25"/>
      <c r="K108" s="38"/>
    </row>
    <row r="109" spans="1:18" s="3" customFormat="1" ht="21" customHeight="1">
      <c r="A109" s="32" t="s">
        <v>118</v>
      </c>
      <c r="B109" s="286"/>
      <c r="C109" s="28"/>
      <c r="D109" s="78"/>
      <c r="E109" s="83"/>
      <c r="F109" s="98"/>
      <c r="G109" s="99"/>
      <c r="H109" s="100"/>
      <c r="I109" s="22"/>
      <c r="J109" s="25"/>
      <c r="K109" s="38"/>
    </row>
    <row r="110" spans="1:18" s="3" customFormat="1" ht="21" customHeight="1">
      <c r="A110" s="32" t="s">
        <v>119</v>
      </c>
      <c r="B110" s="286"/>
      <c r="C110" s="28"/>
      <c r="D110" s="78"/>
      <c r="E110" s="83"/>
      <c r="F110" s="98"/>
      <c r="G110" s="99"/>
      <c r="H110" s="100"/>
      <c r="I110" s="22"/>
      <c r="J110" s="25"/>
      <c r="K110" s="38"/>
    </row>
    <row r="111" spans="1:18" s="3" customFormat="1" ht="21" customHeight="1">
      <c r="A111" s="32" t="s">
        <v>120</v>
      </c>
      <c r="B111" s="286"/>
      <c r="C111" s="28"/>
      <c r="D111" s="78"/>
      <c r="E111" s="83"/>
      <c r="F111" s="98"/>
      <c r="G111" s="99"/>
      <c r="H111" s="100"/>
      <c r="I111" s="22"/>
      <c r="J111" s="25"/>
      <c r="K111" s="38"/>
    </row>
    <row r="112" spans="1:18" s="3" customFormat="1" ht="21" customHeight="1">
      <c r="A112" s="32" t="s">
        <v>121</v>
      </c>
      <c r="B112" s="286"/>
      <c r="C112" s="28"/>
      <c r="D112" s="78"/>
      <c r="E112" s="83"/>
      <c r="F112" s="98"/>
      <c r="G112" s="99"/>
      <c r="H112" s="100"/>
      <c r="I112" s="22"/>
      <c r="J112" s="25"/>
      <c r="K112" s="38"/>
    </row>
    <row r="113" spans="1:11" s="3" customFormat="1" ht="21" customHeight="1">
      <c r="A113" s="32" t="s">
        <v>122</v>
      </c>
      <c r="B113" s="286"/>
      <c r="C113" s="10"/>
      <c r="D113" s="17"/>
      <c r="E113" s="83"/>
      <c r="F113" s="98"/>
      <c r="G113" s="99"/>
      <c r="H113" s="100"/>
      <c r="I113" s="22"/>
      <c r="J113" s="25"/>
      <c r="K113" s="38"/>
    </row>
    <row r="114" spans="1:11" s="3" customFormat="1" ht="21" customHeight="1" thickBot="1">
      <c r="A114" s="33" t="s">
        <v>123</v>
      </c>
      <c r="B114" s="290"/>
      <c r="C114" s="19"/>
      <c r="D114" s="15"/>
      <c r="E114" s="85"/>
      <c r="F114" s="101"/>
      <c r="G114" s="102"/>
      <c r="H114" s="101"/>
      <c r="I114" s="27"/>
      <c r="J114" s="5"/>
      <c r="K114" s="34"/>
    </row>
    <row r="115" spans="1:11" s="3" customFormat="1" ht="21" customHeight="1" thickTop="1">
      <c r="A115" s="32" t="s">
        <v>124</v>
      </c>
      <c r="B115" s="296"/>
      <c r="C115" s="21"/>
      <c r="D115" s="77"/>
      <c r="E115" s="83"/>
      <c r="F115" s="98"/>
      <c r="G115" s="99"/>
      <c r="H115" s="103"/>
      <c r="I115" s="22"/>
      <c r="J115" s="23"/>
      <c r="K115" s="38"/>
    </row>
    <row r="116" spans="1:11" s="3" customFormat="1" ht="21" customHeight="1">
      <c r="A116" s="32" t="s">
        <v>125</v>
      </c>
      <c r="B116" s="286"/>
      <c r="C116" s="24"/>
      <c r="D116" s="16"/>
      <c r="E116" s="83"/>
      <c r="F116" s="98"/>
      <c r="G116" s="99"/>
      <c r="H116" s="100"/>
      <c r="I116" s="22"/>
      <c r="J116" s="25"/>
      <c r="K116" s="38"/>
    </row>
    <row r="117" spans="1:11" s="3" customFormat="1" ht="21" customHeight="1">
      <c r="A117" s="32" t="s">
        <v>126</v>
      </c>
      <c r="B117" s="286"/>
      <c r="C117" s="24"/>
      <c r="D117" s="16"/>
      <c r="E117" s="83"/>
      <c r="F117" s="98"/>
      <c r="G117" s="99"/>
      <c r="H117" s="100"/>
      <c r="I117" s="22"/>
      <c r="J117" s="25"/>
      <c r="K117" s="38"/>
    </row>
    <row r="118" spans="1:11" s="3" customFormat="1" ht="21" customHeight="1">
      <c r="A118" s="32" t="s">
        <v>127</v>
      </c>
      <c r="B118" s="286"/>
      <c r="C118" s="24"/>
      <c r="D118" s="16"/>
      <c r="E118" s="83"/>
      <c r="F118" s="98"/>
      <c r="G118" s="99"/>
      <c r="H118" s="100"/>
      <c r="I118" s="22"/>
      <c r="J118" s="25"/>
      <c r="K118" s="36"/>
    </row>
    <row r="119" spans="1:11" s="3" customFormat="1" ht="21" customHeight="1">
      <c r="A119" s="32" t="s">
        <v>128</v>
      </c>
      <c r="B119" s="286"/>
      <c r="C119" s="24"/>
      <c r="D119" s="16"/>
      <c r="E119" s="83"/>
      <c r="F119" s="98"/>
      <c r="G119" s="99"/>
      <c r="H119" s="104"/>
      <c r="I119" s="22"/>
      <c r="J119" s="25"/>
      <c r="K119" s="36"/>
    </row>
    <row r="120" spans="1:11" s="3" customFormat="1" ht="21" customHeight="1">
      <c r="A120" s="32" t="s">
        <v>129</v>
      </c>
      <c r="B120" s="287"/>
      <c r="C120" s="11"/>
      <c r="D120" s="17"/>
      <c r="E120" s="83"/>
      <c r="F120" s="98"/>
      <c r="G120" s="99"/>
      <c r="H120" s="100"/>
      <c r="I120" s="22"/>
      <c r="J120" s="25"/>
      <c r="K120" s="38"/>
    </row>
    <row r="121" spans="1:11" s="3" customFormat="1" ht="21" customHeight="1">
      <c r="A121" s="32" t="s">
        <v>130</v>
      </c>
      <c r="B121" s="287"/>
      <c r="C121" s="11"/>
      <c r="D121" s="14"/>
      <c r="E121" s="83"/>
      <c r="F121" s="98"/>
      <c r="G121" s="99"/>
      <c r="H121" s="100"/>
      <c r="I121" s="22"/>
      <c r="J121" s="25"/>
      <c r="K121" s="38"/>
    </row>
    <row r="122" spans="1:11" s="3" customFormat="1" ht="21" customHeight="1" thickBot="1">
      <c r="A122" s="33" t="s">
        <v>131</v>
      </c>
      <c r="B122" s="290"/>
      <c r="C122" s="26"/>
      <c r="D122" s="15"/>
      <c r="E122" s="85"/>
      <c r="F122" s="101"/>
      <c r="G122" s="102"/>
      <c r="H122" s="101"/>
      <c r="I122" s="27"/>
      <c r="J122" s="5"/>
      <c r="K122" s="34"/>
    </row>
    <row r="123" spans="1:11" s="3" customFormat="1" ht="21" customHeight="1" thickTop="1">
      <c r="A123" s="35" t="s">
        <v>132</v>
      </c>
      <c r="B123" s="288"/>
      <c r="C123" s="10"/>
      <c r="D123" s="77"/>
      <c r="E123" s="83"/>
      <c r="F123" s="98"/>
      <c r="G123" s="99"/>
      <c r="H123" s="105"/>
      <c r="I123" s="22"/>
      <c r="J123" s="23"/>
      <c r="K123" s="38"/>
    </row>
    <row r="124" spans="1:11" s="3" customFormat="1" ht="21" customHeight="1">
      <c r="A124" s="32" t="s">
        <v>133</v>
      </c>
      <c r="B124" s="286"/>
      <c r="C124" s="28"/>
      <c r="D124" s="17"/>
      <c r="E124" s="83"/>
      <c r="F124" s="98"/>
      <c r="G124" s="99"/>
      <c r="H124" s="104"/>
      <c r="I124" s="22"/>
      <c r="J124" s="25"/>
      <c r="K124" s="38"/>
    </row>
    <row r="125" spans="1:11" s="3" customFormat="1" ht="21" customHeight="1">
      <c r="A125" s="32" t="s">
        <v>134</v>
      </c>
      <c r="B125" s="286"/>
      <c r="C125" s="28"/>
      <c r="D125" s="17"/>
      <c r="E125" s="83"/>
      <c r="F125" s="98"/>
      <c r="G125" s="99"/>
      <c r="H125" s="104"/>
      <c r="I125" s="22"/>
      <c r="J125" s="25"/>
      <c r="K125" s="38"/>
    </row>
    <row r="126" spans="1:11" s="3" customFormat="1" ht="21" customHeight="1">
      <c r="A126" s="32" t="s">
        <v>135</v>
      </c>
      <c r="B126" s="60"/>
      <c r="C126" s="28"/>
      <c r="D126" s="17"/>
      <c r="E126" s="83"/>
      <c r="F126" s="98"/>
      <c r="G126" s="99"/>
      <c r="H126" s="104"/>
      <c r="I126" s="22"/>
      <c r="J126" s="25"/>
      <c r="K126" s="38"/>
    </row>
    <row r="127" spans="1:11" s="3" customFormat="1" ht="21" customHeight="1">
      <c r="A127" s="32" t="s">
        <v>136</v>
      </c>
      <c r="B127" s="60"/>
      <c r="C127" s="28"/>
      <c r="D127" s="17"/>
      <c r="E127" s="83"/>
      <c r="F127" s="98"/>
      <c r="G127" s="99"/>
      <c r="H127" s="104"/>
      <c r="I127" s="22"/>
      <c r="J127" s="25"/>
      <c r="K127" s="38"/>
    </row>
    <row r="128" spans="1:11" s="3" customFormat="1" ht="21" customHeight="1">
      <c r="A128" s="32" t="s">
        <v>137</v>
      </c>
      <c r="B128" s="56"/>
      <c r="C128" s="28"/>
      <c r="D128" s="17"/>
      <c r="E128" s="83"/>
      <c r="F128" s="98"/>
      <c r="G128" s="99"/>
      <c r="H128" s="104"/>
      <c r="I128" s="22"/>
      <c r="J128" s="25"/>
      <c r="K128" s="38"/>
    </row>
    <row r="129" spans="1:11" s="3" customFormat="1" ht="21" customHeight="1">
      <c r="A129" s="32" t="s">
        <v>138</v>
      </c>
      <c r="B129" s="60"/>
      <c r="C129" s="13"/>
      <c r="D129" s="17"/>
      <c r="E129" s="83"/>
      <c r="F129" s="98"/>
      <c r="G129" s="99"/>
      <c r="H129" s="104"/>
      <c r="I129" s="22"/>
      <c r="J129" s="25"/>
      <c r="K129" s="38"/>
    </row>
    <row r="130" spans="1:11" s="3" customFormat="1" ht="21" customHeight="1" thickBot="1">
      <c r="A130" s="33" t="s">
        <v>139</v>
      </c>
      <c r="B130" s="58"/>
      <c r="C130" s="19"/>
      <c r="D130" s="15"/>
      <c r="E130" s="85"/>
      <c r="F130" s="101"/>
      <c r="G130" s="102"/>
      <c r="H130" s="101"/>
      <c r="I130" s="27"/>
      <c r="J130" s="5"/>
      <c r="K130" s="34"/>
    </row>
    <row r="131" spans="1:11" s="3" customFormat="1" ht="21" customHeight="1" thickTop="1">
      <c r="A131" s="32" t="s">
        <v>140</v>
      </c>
      <c r="B131" s="59"/>
      <c r="C131" s="21"/>
      <c r="D131" s="77"/>
      <c r="E131" s="83"/>
      <c r="F131" s="98"/>
      <c r="G131" s="99"/>
      <c r="H131" s="103"/>
      <c r="I131" s="22"/>
      <c r="J131" s="23"/>
      <c r="K131" s="38"/>
    </row>
    <row r="132" spans="1:11" s="3" customFormat="1" ht="21" customHeight="1">
      <c r="A132" s="32" t="s">
        <v>141</v>
      </c>
      <c r="B132" s="60"/>
      <c r="C132" s="24"/>
      <c r="D132" s="16"/>
      <c r="E132" s="83"/>
      <c r="F132" s="98"/>
      <c r="G132" s="99"/>
      <c r="H132" s="100"/>
      <c r="I132" s="22"/>
      <c r="J132" s="25"/>
      <c r="K132" s="38"/>
    </row>
    <row r="133" spans="1:11" s="3" customFormat="1" ht="21" customHeight="1">
      <c r="A133" s="32" t="s">
        <v>142</v>
      </c>
      <c r="B133" s="56"/>
      <c r="C133" s="11"/>
      <c r="D133" s="14"/>
      <c r="E133" s="83"/>
      <c r="F133" s="98"/>
      <c r="G133" s="99"/>
      <c r="H133" s="100"/>
      <c r="I133" s="22"/>
      <c r="J133" s="25"/>
      <c r="K133" s="38"/>
    </row>
    <row r="134" spans="1:11" s="3" customFormat="1" ht="21" customHeight="1">
      <c r="A134" s="32" t="s">
        <v>143</v>
      </c>
      <c r="B134" s="57"/>
      <c r="C134" s="10"/>
      <c r="D134" s="77"/>
      <c r="E134" s="83"/>
      <c r="F134" s="98"/>
      <c r="G134" s="99"/>
      <c r="H134" s="103"/>
      <c r="I134" s="22"/>
      <c r="J134" s="23"/>
      <c r="K134" s="38"/>
    </row>
    <row r="135" spans="1:11" s="3" customFormat="1" ht="21" customHeight="1">
      <c r="A135" s="32" t="s">
        <v>144</v>
      </c>
      <c r="B135" s="60"/>
      <c r="C135" s="13"/>
      <c r="D135" s="17"/>
      <c r="E135" s="83"/>
      <c r="F135" s="98"/>
      <c r="G135" s="99"/>
      <c r="H135" s="100"/>
      <c r="I135" s="22"/>
      <c r="J135" s="25"/>
      <c r="K135" s="38"/>
    </row>
    <row r="136" spans="1:11" s="3" customFormat="1" ht="21" customHeight="1">
      <c r="A136" s="32" t="s">
        <v>145</v>
      </c>
      <c r="B136" s="56"/>
      <c r="C136" s="11"/>
      <c r="D136" s="17"/>
      <c r="E136" s="83"/>
      <c r="F136" s="98"/>
      <c r="G136" s="99"/>
      <c r="H136" s="100"/>
      <c r="I136" s="22"/>
      <c r="J136" s="25"/>
      <c r="K136" s="38"/>
    </row>
    <row r="137" spans="1:11" s="3" customFormat="1" ht="21" customHeight="1">
      <c r="A137" s="32" t="s">
        <v>146</v>
      </c>
      <c r="B137" s="60"/>
      <c r="C137" s="13"/>
      <c r="D137" s="17"/>
      <c r="E137" s="83"/>
      <c r="F137" s="98"/>
      <c r="G137" s="99"/>
      <c r="H137" s="100"/>
      <c r="I137" s="22"/>
      <c r="J137" s="25"/>
      <c r="K137" s="38"/>
    </row>
    <row r="138" spans="1:11" s="3" customFormat="1" ht="21" customHeight="1" thickBot="1">
      <c r="A138" s="33" t="s">
        <v>147</v>
      </c>
      <c r="B138" s="58"/>
      <c r="C138" s="19"/>
      <c r="D138" s="15"/>
      <c r="E138" s="85"/>
      <c r="F138" s="101"/>
      <c r="G138" s="102"/>
      <c r="H138" s="101"/>
      <c r="I138" s="27"/>
      <c r="J138" s="5"/>
      <c r="K138" s="34"/>
    </row>
    <row r="139" spans="1:11" s="3" customFormat="1" ht="21" customHeight="1" thickTop="1">
      <c r="A139" s="35" t="s">
        <v>148</v>
      </c>
      <c r="B139" s="57"/>
      <c r="C139" s="20"/>
      <c r="D139" s="18"/>
      <c r="E139" s="87"/>
      <c r="F139" s="106"/>
      <c r="G139" s="107"/>
      <c r="H139" s="103"/>
      <c r="I139" s="29"/>
      <c r="J139" s="23"/>
      <c r="K139" s="37"/>
    </row>
    <row r="140" spans="1:11" s="3" customFormat="1" ht="21" customHeight="1">
      <c r="A140" s="32" t="s">
        <v>149</v>
      </c>
      <c r="B140" s="56"/>
      <c r="C140" s="11"/>
      <c r="D140" s="14"/>
      <c r="E140" s="83"/>
      <c r="F140" s="98"/>
      <c r="G140" s="99"/>
      <c r="H140" s="100"/>
      <c r="I140" s="22"/>
      <c r="J140" s="25"/>
      <c r="K140" s="38"/>
    </row>
    <row r="141" spans="1:11" s="3" customFormat="1" ht="21" customHeight="1">
      <c r="A141" s="32" t="s">
        <v>150</v>
      </c>
      <c r="B141" s="60"/>
      <c r="C141" s="12"/>
      <c r="D141" s="14"/>
      <c r="E141" s="83"/>
      <c r="F141" s="98"/>
      <c r="G141" s="99"/>
      <c r="H141" s="100"/>
      <c r="I141" s="22"/>
      <c r="J141" s="25"/>
      <c r="K141" s="38"/>
    </row>
    <row r="142" spans="1:11" s="3" customFormat="1" ht="21" customHeight="1">
      <c r="A142" s="32" t="s">
        <v>151</v>
      </c>
      <c r="B142" s="56"/>
      <c r="C142" s="11"/>
      <c r="D142" s="14"/>
      <c r="E142" s="83"/>
      <c r="F142" s="98"/>
      <c r="G142" s="99"/>
      <c r="H142" s="100"/>
      <c r="I142" s="22"/>
      <c r="J142" s="25"/>
      <c r="K142" s="38"/>
    </row>
    <row r="143" spans="1:11" s="3" customFormat="1" ht="21" customHeight="1">
      <c r="A143" s="35" t="s">
        <v>152</v>
      </c>
      <c r="B143" s="60"/>
      <c r="C143" s="12"/>
      <c r="D143" s="14"/>
      <c r="E143" s="83"/>
      <c r="F143" s="98"/>
      <c r="G143" s="99"/>
      <c r="H143" s="100"/>
      <c r="I143" s="22"/>
      <c r="J143" s="25"/>
      <c r="K143" s="38"/>
    </row>
    <row r="144" spans="1:11" s="3" customFormat="1" ht="21" customHeight="1">
      <c r="A144" s="32" t="s">
        <v>153</v>
      </c>
      <c r="B144" s="56"/>
      <c r="C144" s="11"/>
      <c r="D144" s="14"/>
      <c r="E144" s="83"/>
      <c r="F144" s="98"/>
      <c r="G144" s="99"/>
      <c r="H144" s="100"/>
      <c r="I144" s="22"/>
      <c r="J144" s="25"/>
      <c r="K144" s="38"/>
    </row>
    <row r="145" spans="1:14" s="3" customFormat="1" ht="21" customHeight="1">
      <c r="A145" s="32" t="s">
        <v>154</v>
      </c>
      <c r="B145" s="60"/>
      <c r="C145" s="12"/>
      <c r="D145" s="14"/>
      <c r="E145" s="90"/>
      <c r="F145" s="98"/>
      <c r="G145" s="99"/>
      <c r="H145" s="100"/>
      <c r="I145" s="22"/>
      <c r="J145" s="25"/>
      <c r="K145" s="38"/>
    </row>
    <row r="146" spans="1:14" s="3" customFormat="1" ht="21" customHeight="1" thickBot="1">
      <c r="A146" s="39" t="s">
        <v>155</v>
      </c>
      <c r="B146" s="61"/>
      <c r="C146" s="40"/>
      <c r="D146" s="41"/>
      <c r="E146" s="91"/>
      <c r="F146" s="108"/>
      <c r="G146" s="109"/>
      <c r="H146" s="108"/>
      <c r="I146" s="42"/>
      <c r="J146" s="43"/>
      <c r="K146" s="44"/>
    </row>
    <row r="147" spans="1:14">
      <c r="L147" s="112"/>
      <c r="M147" s="112"/>
      <c r="N147" s="112"/>
    </row>
    <row r="148" spans="1:14">
      <c r="L148" s="112"/>
      <c r="M148" s="112"/>
      <c r="N148" s="112"/>
    </row>
    <row r="149" spans="1:14">
      <c r="L149" s="112"/>
      <c r="M149" s="112"/>
      <c r="N149" s="112"/>
    </row>
    <row r="150" spans="1:14">
      <c r="L150" s="112"/>
      <c r="M150" s="112"/>
      <c r="N150" s="112"/>
    </row>
    <row r="151" spans="1:14">
      <c r="L151" s="112"/>
      <c r="M151" s="112"/>
      <c r="N151" s="112"/>
    </row>
    <row r="152" spans="1:14">
      <c r="L152" s="112"/>
      <c r="M152" s="112"/>
      <c r="N152" s="112"/>
    </row>
    <row r="153" spans="1:14">
      <c r="L153" s="112"/>
      <c r="M153" s="112"/>
      <c r="N153" s="112"/>
    </row>
    <row r="154" spans="1:14">
      <c r="L154" s="112"/>
      <c r="M154" s="112"/>
      <c r="N154" s="112"/>
    </row>
    <row r="155" spans="1:14">
      <c r="L155" s="112"/>
      <c r="M155" s="112"/>
      <c r="N155" s="112"/>
    </row>
    <row r="156" spans="1:14">
      <c r="L156" s="112"/>
      <c r="M156" s="112"/>
      <c r="N156" s="112"/>
    </row>
    <row r="157" spans="1:14">
      <c r="L157" s="112"/>
      <c r="M157" s="112"/>
      <c r="N157" s="112"/>
    </row>
    <row r="158" spans="1:14">
      <c r="L158" s="112"/>
      <c r="M158" s="112"/>
      <c r="N158" s="112"/>
    </row>
    <row r="159" spans="1:14">
      <c r="L159" s="112"/>
      <c r="M159" s="112"/>
      <c r="N159" s="112"/>
    </row>
    <row r="160" spans="1:14">
      <c r="L160" s="112"/>
      <c r="M160" s="112"/>
      <c r="N160" s="112"/>
    </row>
    <row r="161" spans="12:14">
      <c r="L161" s="112"/>
      <c r="M161" s="112"/>
      <c r="N161" s="112"/>
    </row>
    <row r="162" spans="12:14">
      <c r="L162" s="112"/>
      <c r="M162" s="112"/>
      <c r="N162" s="112"/>
    </row>
    <row r="163" spans="12:14">
      <c r="L163" s="112"/>
      <c r="M163" s="112"/>
      <c r="N163" s="112"/>
    </row>
    <row r="164" spans="12:14">
      <c r="L164" s="112"/>
      <c r="M164" s="112"/>
      <c r="N164" s="112"/>
    </row>
    <row r="165" spans="12:14">
      <c r="L165" s="112"/>
      <c r="M165" s="112"/>
      <c r="N165" s="112"/>
    </row>
    <row r="166" spans="12:14">
      <c r="L166" s="112"/>
      <c r="M166" s="112"/>
      <c r="N166" s="112"/>
    </row>
    <row r="167" spans="12:14">
      <c r="L167" s="112"/>
      <c r="M167" s="112"/>
      <c r="N167" s="112"/>
    </row>
    <row r="168" spans="12:14">
      <c r="L168" s="112"/>
      <c r="M168" s="112"/>
      <c r="N168" s="112"/>
    </row>
    <row r="169" spans="12:14">
      <c r="L169" s="112"/>
      <c r="M169" s="112"/>
      <c r="N169" s="112"/>
    </row>
    <row r="170" spans="12:14">
      <c r="L170" s="112"/>
      <c r="M170" s="112"/>
      <c r="N170" s="112"/>
    </row>
    <row r="171" spans="12:14">
      <c r="L171" s="112"/>
      <c r="M171" s="112"/>
      <c r="N171" s="112"/>
    </row>
    <row r="172" spans="12:14">
      <c r="L172" s="112"/>
      <c r="M172" s="112"/>
      <c r="N172" s="112"/>
    </row>
    <row r="173" spans="12:14">
      <c r="L173" s="112"/>
      <c r="M173" s="112"/>
      <c r="N173" s="112"/>
    </row>
    <row r="174" spans="12:14">
      <c r="L174" s="112"/>
      <c r="M174" s="112"/>
      <c r="N174" s="112"/>
    </row>
    <row r="175" spans="12:14">
      <c r="L175" s="112"/>
      <c r="M175" s="112"/>
      <c r="N175" s="112"/>
    </row>
    <row r="176" spans="12:14">
      <c r="L176" s="112"/>
      <c r="M176" s="112"/>
      <c r="N176" s="112"/>
    </row>
    <row r="177" spans="12:14">
      <c r="L177" s="112"/>
      <c r="M177" s="112"/>
      <c r="N177" s="112"/>
    </row>
    <row r="178" spans="12:14">
      <c r="L178" s="112"/>
      <c r="M178" s="112"/>
      <c r="N178" s="112"/>
    </row>
    <row r="179" spans="12:14">
      <c r="L179" s="112"/>
      <c r="M179" s="112"/>
      <c r="N179" s="112"/>
    </row>
    <row r="180" spans="12:14">
      <c r="L180" s="112"/>
      <c r="M180" s="112"/>
      <c r="N180" s="112"/>
    </row>
    <row r="181" spans="12:14">
      <c r="L181" s="112"/>
      <c r="M181" s="112"/>
      <c r="N181" s="112"/>
    </row>
    <row r="182" spans="12:14">
      <c r="L182" s="112"/>
      <c r="M182" s="112"/>
      <c r="N182" s="112"/>
    </row>
    <row r="183" spans="12:14">
      <c r="L183" s="112"/>
      <c r="M183" s="112"/>
      <c r="N183" s="112"/>
    </row>
    <row r="184" spans="12:14">
      <c r="L184" s="112"/>
      <c r="M184" s="112"/>
      <c r="N184" s="112"/>
    </row>
    <row r="185" spans="12:14">
      <c r="L185" s="112"/>
      <c r="M185" s="112"/>
      <c r="N185" s="112"/>
    </row>
    <row r="186" spans="12:14">
      <c r="L186" s="112"/>
      <c r="M186" s="112"/>
      <c r="N186" s="112"/>
    </row>
    <row r="187" spans="12:14">
      <c r="L187" s="112"/>
      <c r="M187" s="112"/>
      <c r="N187" s="112"/>
    </row>
    <row r="188" spans="12:14">
      <c r="L188" s="112"/>
      <c r="M188" s="112"/>
      <c r="N188" s="112"/>
    </row>
    <row r="189" spans="12:14">
      <c r="L189" s="112"/>
      <c r="M189" s="112"/>
      <c r="N189" s="112"/>
    </row>
    <row r="190" spans="12:14">
      <c r="L190" s="112"/>
      <c r="M190" s="112"/>
      <c r="N190" s="112"/>
    </row>
    <row r="191" spans="12:14">
      <c r="L191" s="112"/>
      <c r="M191" s="112"/>
      <c r="N191" s="112"/>
    </row>
    <row r="192" spans="12:14">
      <c r="L192" s="112"/>
      <c r="M192" s="112"/>
      <c r="N192" s="112"/>
    </row>
    <row r="193" spans="12:14">
      <c r="L193" s="112"/>
      <c r="M193" s="112"/>
      <c r="N193" s="112"/>
    </row>
    <row r="194" spans="12:14">
      <c r="L194" s="112"/>
      <c r="M194" s="112"/>
      <c r="N194" s="112"/>
    </row>
    <row r="195" spans="12:14">
      <c r="L195" s="112"/>
      <c r="M195" s="112"/>
      <c r="N195" s="112"/>
    </row>
    <row r="196" spans="12:14">
      <c r="L196" s="112"/>
      <c r="M196" s="112"/>
      <c r="N196" s="112"/>
    </row>
    <row r="197" spans="12:14">
      <c r="L197" s="112"/>
      <c r="M197" s="112"/>
      <c r="N197" s="112"/>
    </row>
    <row r="198" spans="12:14">
      <c r="L198" s="112"/>
      <c r="M198" s="112"/>
      <c r="N198" s="112"/>
    </row>
    <row r="199" spans="12:14">
      <c r="L199" s="112"/>
      <c r="M199" s="112"/>
      <c r="N199" s="112"/>
    </row>
    <row r="200" spans="12:14">
      <c r="L200" s="112"/>
      <c r="M200" s="112"/>
      <c r="N200" s="112"/>
    </row>
    <row r="201" spans="12:14">
      <c r="L201" s="112"/>
      <c r="M201" s="112"/>
      <c r="N201" s="112"/>
    </row>
    <row r="202" spans="12:14">
      <c r="L202" s="112"/>
      <c r="M202" s="112"/>
      <c r="N202" s="112"/>
    </row>
    <row r="203" spans="12:14">
      <c r="L203" s="112"/>
      <c r="M203" s="112"/>
      <c r="N203" s="112"/>
    </row>
    <row r="204" spans="12:14">
      <c r="L204" s="112"/>
      <c r="M204" s="112"/>
      <c r="N204" s="112"/>
    </row>
    <row r="205" spans="12:14">
      <c r="L205" s="112"/>
      <c r="M205" s="112"/>
      <c r="N205" s="112"/>
    </row>
    <row r="206" spans="12:14">
      <c r="L206" s="112"/>
      <c r="M206" s="112"/>
      <c r="N206" s="112"/>
    </row>
    <row r="207" spans="12:14">
      <c r="L207" s="112"/>
      <c r="M207" s="112"/>
      <c r="N207" s="112"/>
    </row>
    <row r="208" spans="12:14">
      <c r="L208" s="112"/>
      <c r="M208" s="112"/>
      <c r="N208" s="112"/>
    </row>
    <row r="209" spans="12:14">
      <c r="L209" s="112"/>
      <c r="M209" s="112"/>
      <c r="N209" s="112"/>
    </row>
    <row r="210" spans="12:14">
      <c r="L210" s="112"/>
      <c r="M210" s="112"/>
      <c r="N210" s="112"/>
    </row>
    <row r="211" spans="12:14">
      <c r="L211" s="112"/>
      <c r="M211" s="112"/>
      <c r="N211" s="112"/>
    </row>
    <row r="212" spans="12:14">
      <c r="L212" s="112"/>
      <c r="M212" s="112"/>
      <c r="N212" s="112"/>
    </row>
    <row r="213" spans="12:14">
      <c r="L213" s="112"/>
      <c r="M213" s="112"/>
      <c r="N213" s="112"/>
    </row>
    <row r="214" spans="12:14">
      <c r="L214" s="112"/>
      <c r="M214" s="112"/>
      <c r="N214" s="112"/>
    </row>
    <row r="215" spans="12:14">
      <c r="L215" s="112"/>
      <c r="M215" s="112"/>
      <c r="N215" s="112"/>
    </row>
    <row r="216" spans="12:14">
      <c r="L216" s="112"/>
      <c r="M216" s="112"/>
      <c r="N216" s="112"/>
    </row>
    <row r="217" spans="12:14">
      <c r="L217" s="112"/>
      <c r="M217" s="112"/>
      <c r="N217" s="112"/>
    </row>
    <row r="218" spans="12:14">
      <c r="L218" s="112"/>
      <c r="M218" s="112"/>
      <c r="N218" s="112"/>
    </row>
    <row r="219" spans="12:14">
      <c r="L219" s="112"/>
      <c r="M219" s="112"/>
      <c r="N219" s="112"/>
    </row>
    <row r="220" spans="12:14">
      <c r="L220" s="112"/>
      <c r="M220" s="112"/>
      <c r="N220" s="112"/>
    </row>
    <row r="221" spans="12:14">
      <c r="L221" s="112"/>
      <c r="M221" s="112"/>
      <c r="N221" s="112"/>
    </row>
    <row r="222" spans="12:14">
      <c r="L222" s="112"/>
      <c r="M222" s="112"/>
      <c r="N222" s="112"/>
    </row>
    <row r="223" spans="12:14">
      <c r="L223" s="112"/>
      <c r="M223" s="112"/>
      <c r="N223" s="112"/>
    </row>
    <row r="224" spans="12:14">
      <c r="L224" s="112"/>
      <c r="M224" s="112"/>
      <c r="N224" s="112"/>
    </row>
    <row r="225" spans="12:14">
      <c r="L225" s="112"/>
      <c r="M225" s="112"/>
      <c r="N225" s="112"/>
    </row>
    <row r="226" spans="12:14">
      <c r="L226" s="112"/>
      <c r="M226" s="112"/>
      <c r="N226" s="112"/>
    </row>
    <row r="227" spans="12:14">
      <c r="L227" s="112"/>
      <c r="M227" s="112"/>
      <c r="N227" s="112"/>
    </row>
    <row r="228" spans="12:14">
      <c r="L228" s="112"/>
      <c r="M228" s="112"/>
      <c r="N228" s="112"/>
    </row>
    <row r="229" spans="12:14">
      <c r="L229" s="112"/>
      <c r="M229" s="112"/>
      <c r="N229" s="112"/>
    </row>
    <row r="230" spans="12:14">
      <c r="L230" s="112"/>
      <c r="M230" s="112"/>
      <c r="N230" s="112"/>
    </row>
    <row r="231" spans="12:14">
      <c r="L231" s="112"/>
      <c r="M231" s="112"/>
      <c r="N231" s="112"/>
    </row>
    <row r="232" spans="12:14">
      <c r="L232" s="112"/>
      <c r="M232" s="112"/>
      <c r="N232" s="112"/>
    </row>
    <row r="233" spans="12:14">
      <c r="L233" s="112"/>
      <c r="M233" s="112"/>
      <c r="N233" s="112"/>
    </row>
    <row r="234" spans="12:14">
      <c r="L234" s="112"/>
      <c r="M234" s="112"/>
      <c r="N234" s="112"/>
    </row>
    <row r="235" spans="12:14">
      <c r="L235" s="112"/>
      <c r="M235" s="112"/>
      <c r="N235" s="112"/>
    </row>
    <row r="236" spans="12:14">
      <c r="L236" s="112"/>
      <c r="M236" s="112"/>
      <c r="N236" s="112"/>
    </row>
    <row r="237" spans="12:14">
      <c r="L237" s="112"/>
      <c r="M237" s="112"/>
      <c r="N237" s="112"/>
    </row>
    <row r="238" spans="12:14">
      <c r="L238" s="112"/>
      <c r="M238" s="112"/>
      <c r="N238" s="112"/>
    </row>
    <row r="239" spans="12:14">
      <c r="L239" s="112"/>
      <c r="M239" s="112"/>
      <c r="N239" s="112"/>
    </row>
    <row r="240" spans="12:14">
      <c r="L240" s="112"/>
      <c r="M240" s="112"/>
      <c r="N240" s="112"/>
    </row>
    <row r="241" spans="12:14">
      <c r="L241" s="112"/>
      <c r="M241" s="112"/>
      <c r="N241" s="112"/>
    </row>
    <row r="242" spans="12:14">
      <c r="L242" s="112"/>
      <c r="M242" s="112"/>
      <c r="N242" s="112"/>
    </row>
    <row r="243" spans="12:14">
      <c r="L243" s="112"/>
      <c r="M243" s="112"/>
      <c r="N243" s="112"/>
    </row>
    <row r="244" spans="12:14">
      <c r="L244" s="112"/>
      <c r="M244" s="112"/>
      <c r="N244" s="112"/>
    </row>
    <row r="245" spans="12:14">
      <c r="L245" s="112"/>
      <c r="M245" s="112"/>
      <c r="N245" s="112"/>
    </row>
    <row r="246" spans="12:14">
      <c r="L246" s="112"/>
      <c r="M246" s="112"/>
      <c r="N246" s="112"/>
    </row>
    <row r="247" spans="12:14">
      <c r="L247" s="112"/>
      <c r="M247" s="112"/>
      <c r="N247" s="112"/>
    </row>
    <row r="248" spans="12:14">
      <c r="L248" s="112"/>
      <c r="M248" s="112"/>
      <c r="N248" s="112"/>
    </row>
    <row r="249" spans="12:14">
      <c r="L249" s="112"/>
      <c r="M249" s="112"/>
      <c r="N249" s="112"/>
    </row>
    <row r="250" spans="12:14">
      <c r="L250" s="112"/>
      <c r="M250" s="112"/>
      <c r="N250" s="112"/>
    </row>
    <row r="251" spans="12:14">
      <c r="L251" s="112"/>
      <c r="M251" s="112"/>
      <c r="N251" s="112"/>
    </row>
    <row r="252" spans="12:14">
      <c r="L252" s="112"/>
      <c r="M252" s="112"/>
      <c r="N252" s="112"/>
    </row>
    <row r="253" spans="12:14">
      <c r="L253" s="112"/>
      <c r="M253" s="112"/>
      <c r="N253" s="112"/>
    </row>
    <row r="254" spans="12:14">
      <c r="L254" s="112"/>
      <c r="M254" s="112"/>
      <c r="N254" s="112"/>
    </row>
    <row r="255" spans="12:14">
      <c r="L255" s="112"/>
      <c r="M255" s="112"/>
      <c r="N255" s="112"/>
    </row>
    <row r="256" spans="12:14">
      <c r="L256" s="112"/>
      <c r="M256" s="112"/>
      <c r="N256" s="112"/>
    </row>
    <row r="257" spans="12:14">
      <c r="L257" s="112"/>
      <c r="M257" s="112"/>
      <c r="N257" s="112"/>
    </row>
    <row r="258" spans="12:14">
      <c r="L258" s="112"/>
      <c r="M258" s="112"/>
      <c r="N258" s="112"/>
    </row>
    <row r="259" spans="12:14">
      <c r="L259" s="112"/>
      <c r="M259" s="112"/>
      <c r="N259" s="112"/>
    </row>
    <row r="260" spans="12:14">
      <c r="L260" s="112"/>
      <c r="M260" s="112"/>
      <c r="N260" s="112"/>
    </row>
    <row r="261" spans="12:14">
      <c r="L261" s="112"/>
      <c r="M261" s="112"/>
      <c r="N261" s="112"/>
    </row>
    <row r="262" spans="12:14">
      <c r="L262" s="112"/>
      <c r="M262" s="112"/>
      <c r="N262" s="112"/>
    </row>
    <row r="263" spans="12:14">
      <c r="L263" s="112"/>
      <c r="M263" s="112"/>
      <c r="N263" s="112"/>
    </row>
    <row r="264" spans="12:14">
      <c r="L264" s="112"/>
      <c r="M264" s="112"/>
      <c r="N264" s="112"/>
    </row>
    <row r="265" spans="12:14">
      <c r="L265" s="112"/>
      <c r="M265" s="112"/>
      <c r="N265" s="112"/>
    </row>
    <row r="266" spans="12:14">
      <c r="L266" s="112"/>
      <c r="M266" s="112"/>
      <c r="N266" s="112"/>
    </row>
    <row r="267" spans="12:14">
      <c r="L267" s="112"/>
      <c r="M267" s="112"/>
      <c r="N267" s="112"/>
    </row>
    <row r="268" spans="12:14">
      <c r="L268" s="112"/>
      <c r="M268" s="112"/>
      <c r="N268" s="112"/>
    </row>
    <row r="269" spans="12:14">
      <c r="L269" s="112"/>
      <c r="M269" s="112"/>
      <c r="N269" s="112"/>
    </row>
    <row r="270" spans="12:14">
      <c r="L270" s="112"/>
      <c r="M270" s="112"/>
      <c r="N270" s="112"/>
    </row>
    <row r="271" spans="12:14">
      <c r="L271" s="112"/>
      <c r="M271" s="112"/>
      <c r="N271" s="112"/>
    </row>
    <row r="272" spans="12:14">
      <c r="L272" s="112"/>
      <c r="M272" s="112"/>
      <c r="N272" s="112"/>
    </row>
    <row r="273" spans="12:14">
      <c r="L273" s="112"/>
      <c r="M273" s="112"/>
      <c r="N273" s="112"/>
    </row>
    <row r="274" spans="12:14">
      <c r="L274" s="112"/>
      <c r="M274" s="112"/>
      <c r="N274" s="112"/>
    </row>
    <row r="275" spans="12:14">
      <c r="L275" s="112"/>
      <c r="M275" s="112"/>
      <c r="N275" s="112"/>
    </row>
    <row r="276" spans="12:14">
      <c r="L276" s="112"/>
      <c r="M276" s="112"/>
      <c r="N276" s="112"/>
    </row>
    <row r="277" spans="12:14">
      <c r="L277" s="112"/>
      <c r="M277" s="112"/>
      <c r="N277" s="112"/>
    </row>
    <row r="278" spans="12:14">
      <c r="L278" s="112"/>
      <c r="M278" s="112"/>
      <c r="N278" s="112"/>
    </row>
    <row r="279" spans="12:14">
      <c r="L279" s="112"/>
      <c r="M279" s="112"/>
      <c r="N279" s="112"/>
    </row>
    <row r="280" spans="12:14">
      <c r="L280" s="112"/>
      <c r="M280" s="112"/>
      <c r="N280" s="112"/>
    </row>
    <row r="281" spans="12:14">
      <c r="L281" s="112"/>
      <c r="M281" s="112"/>
      <c r="N281" s="112"/>
    </row>
    <row r="282" spans="12:14">
      <c r="L282" s="112"/>
      <c r="M282" s="112"/>
      <c r="N282" s="112"/>
    </row>
    <row r="283" spans="12:14">
      <c r="L283" s="112"/>
      <c r="M283" s="112"/>
      <c r="N283" s="112"/>
    </row>
    <row r="284" spans="12:14">
      <c r="L284" s="112"/>
      <c r="M284" s="112"/>
      <c r="N284" s="112"/>
    </row>
    <row r="285" spans="12:14">
      <c r="L285" s="112"/>
      <c r="M285" s="112"/>
      <c r="N285" s="112"/>
    </row>
    <row r="286" spans="12:14">
      <c r="L286" s="112"/>
      <c r="M286" s="112"/>
      <c r="N286" s="112"/>
    </row>
    <row r="287" spans="12:14">
      <c r="L287" s="112"/>
      <c r="M287" s="112"/>
      <c r="N287" s="112"/>
    </row>
    <row r="288" spans="12:14">
      <c r="L288" s="112"/>
      <c r="M288" s="112"/>
      <c r="N288" s="112"/>
    </row>
    <row r="289" spans="12:14">
      <c r="L289" s="112"/>
      <c r="M289" s="112"/>
      <c r="N289" s="112"/>
    </row>
    <row r="290" spans="12:14">
      <c r="L290" s="112"/>
      <c r="M290" s="112"/>
      <c r="N290" s="112"/>
    </row>
    <row r="291" spans="12:14">
      <c r="L291" s="112"/>
      <c r="M291" s="112"/>
      <c r="N291" s="112"/>
    </row>
    <row r="292" spans="12:14">
      <c r="L292" s="112"/>
      <c r="M292" s="112"/>
      <c r="N292" s="112"/>
    </row>
    <row r="293" spans="12:14">
      <c r="L293" s="112"/>
      <c r="M293" s="112"/>
      <c r="N293" s="112"/>
    </row>
    <row r="294" spans="12:14">
      <c r="L294" s="112"/>
      <c r="M294" s="112"/>
      <c r="N294" s="112"/>
    </row>
    <row r="295" spans="12:14">
      <c r="L295" s="112"/>
      <c r="M295" s="112"/>
      <c r="N295" s="112"/>
    </row>
    <row r="296" spans="12:14">
      <c r="L296" s="112"/>
      <c r="M296" s="112"/>
      <c r="N296" s="112"/>
    </row>
    <row r="297" spans="12:14">
      <c r="L297" s="112"/>
      <c r="M297" s="112"/>
      <c r="N297" s="112"/>
    </row>
    <row r="298" spans="12:14">
      <c r="L298" s="112"/>
      <c r="M298" s="112"/>
      <c r="N298" s="112"/>
    </row>
    <row r="299" spans="12:14">
      <c r="L299" s="112"/>
      <c r="M299" s="112"/>
      <c r="N299" s="112"/>
    </row>
    <row r="300" spans="12:14">
      <c r="L300" s="112"/>
      <c r="M300" s="112"/>
      <c r="N300" s="112"/>
    </row>
    <row r="301" spans="12:14">
      <c r="L301" s="112"/>
      <c r="M301" s="112"/>
      <c r="N301" s="112"/>
    </row>
    <row r="302" spans="12:14">
      <c r="L302" s="112"/>
      <c r="M302" s="112"/>
      <c r="N302" s="112"/>
    </row>
    <row r="303" spans="12:14">
      <c r="L303" s="112"/>
      <c r="M303" s="112"/>
      <c r="N303" s="112"/>
    </row>
    <row r="304" spans="12:14">
      <c r="L304" s="112"/>
      <c r="M304" s="112"/>
      <c r="N304" s="112"/>
    </row>
    <row r="305" spans="12:14">
      <c r="L305" s="112"/>
      <c r="M305" s="112"/>
      <c r="N305" s="112"/>
    </row>
    <row r="306" spans="12:14">
      <c r="L306" s="112"/>
      <c r="M306" s="112"/>
      <c r="N306" s="112"/>
    </row>
    <row r="307" spans="12:14">
      <c r="L307" s="112"/>
      <c r="M307" s="112"/>
      <c r="N307" s="112"/>
    </row>
    <row r="308" spans="12:14">
      <c r="L308" s="112"/>
      <c r="M308" s="112"/>
      <c r="N308" s="112"/>
    </row>
    <row r="309" spans="12:14">
      <c r="L309" s="112"/>
      <c r="M309" s="112"/>
      <c r="N309" s="112"/>
    </row>
    <row r="310" spans="12:14">
      <c r="L310" s="112"/>
      <c r="M310" s="112"/>
      <c r="N310" s="112"/>
    </row>
    <row r="311" spans="12:14">
      <c r="L311" s="112"/>
      <c r="M311" s="112"/>
      <c r="N311" s="112"/>
    </row>
    <row r="312" spans="12:14">
      <c r="L312" s="112"/>
      <c r="M312" s="112"/>
      <c r="N312" s="112"/>
    </row>
    <row r="313" spans="12:14">
      <c r="L313" s="112"/>
      <c r="M313" s="112"/>
      <c r="N313" s="112"/>
    </row>
    <row r="314" spans="12:14">
      <c r="L314" s="112"/>
      <c r="M314" s="112"/>
      <c r="N314" s="112"/>
    </row>
    <row r="315" spans="12:14">
      <c r="L315" s="112"/>
      <c r="M315" s="112"/>
      <c r="N315" s="112"/>
    </row>
    <row r="316" spans="12:14">
      <c r="L316" s="112"/>
      <c r="M316" s="112"/>
      <c r="N316" s="112"/>
    </row>
    <row r="317" spans="12:14">
      <c r="L317" s="112"/>
      <c r="M317" s="112"/>
      <c r="N317" s="112"/>
    </row>
    <row r="318" spans="12:14">
      <c r="L318" s="112"/>
      <c r="M318" s="112"/>
      <c r="N318" s="112"/>
    </row>
    <row r="319" spans="12:14">
      <c r="L319" s="112"/>
      <c r="M319" s="112"/>
      <c r="N319" s="112"/>
    </row>
    <row r="320" spans="12:14">
      <c r="L320" s="112"/>
      <c r="M320" s="112"/>
      <c r="N320" s="112"/>
    </row>
    <row r="321" spans="12:14">
      <c r="L321" s="112"/>
      <c r="M321" s="112"/>
      <c r="N321" s="112"/>
    </row>
    <row r="322" spans="12:14">
      <c r="L322" s="112"/>
      <c r="M322" s="112"/>
      <c r="N322" s="112"/>
    </row>
    <row r="323" spans="12:14">
      <c r="L323" s="112"/>
      <c r="M323" s="112"/>
      <c r="N323" s="112"/>
    </row>
    <row r="324" spans="12:14">
      <c r="L324" s="112"/>
      <c r="M324" s="112"/>
      <c r="N324" s="112"/>
    </row>
    <row r="325" spans="12:14">
      <c r="L325" s="112"/>
      <c r="M325" s="112"/>
      <c r="N325" s="112"/>
    </row>
    <row r="326" spans="12:14">
      <c r="L326" s="112"/>
      <c r="M326" s="112"/>
      <c r="N326" s="112"/>
    </row>
    <row r="327" spans="12:14">
      <c r="L327" s="112"/>
      <c r="M327" s="112"/>
      <c r="N327" s="112"/>
    </row>
    <row r="328" spans="12:14">
      <c r="L328" s="112"/>
      <c r="M328" s="112"/>
      <c r="N328" s="112"/>
    </row>
    <row r="329" spans="12:14">
      <c r="L329" s="112"/>
      <c r="M329" s="112"/>
      <c r="N329" s="112"/>
    </row>
    <row r="330" spans="12:14">
      <c r="L330" s="112"/>
      <c r="M330" s="112"/>
      <c r="N330" s="112"/>
    </row>
    <row r="331" spans="12:14">
      <c r="L331" s="112"/>
      <c r="M331" s="112"/>
      <c r="N331" s="112"/>
    </row>
    <row r="332" spans="12:14">
      <c r="L332" s="112"/>
      <c r="M332" s="112"/>
      <c r="N332" s="112"/>
    </row>
    <row r="333" spans="12:14">
      <c r="L333" s="112"/>
      <c r="M333" s="112"/>
      <c r="N333" s="112"/>
    </row>
    <row r="334" spans="12:14">
      <c r="L334" s="112"/>
      <c r="M334" s="112"/>
      <c r="N334" s="112"/>
    </row>
    <row r="335" spans="12:14">
      <c r="L335" s="112"/>
      <c r="M335" s="112"/>
      <c r="N335" s="112"/>
    </row>
    <row r="336" spans="12:14">
      <c r="L336" s="112"/>
      <c r="M336" s="112"/>
      <c r="N336" s="112"/>
    </row>
    <row r="337" spans="12:14">
      <c r="L337" s="112"/>
      <c r="M337" s="112"/>
      <c r="N337" s="112"/>
    </row>
    <row r="338" spans="12:14">
      <c r="L338" s="112"/>
      <c r="M338" s="112"/>
      <c r="N338" s="112"/>
    </row>
    <row r="339" spans="12:14">
      <c r="L339" s="112"/>
      <c r="M339" s="112"/>
      <c r="N339" s="112"/>
    </row>
    <row r="340" spans="12:14">
      <c r="L340" s="112"/>
      <c r="M340" s="112"/>
      <c r="N340" s="112"/>
    </row>
    <row r="341" spans="12:14">
      <c r="L341" s="112"/>
      <c r="M341" s="112"/>
      <c r="N341" s="112"/>
    </row>
    <row r="342" spans="12:14">
      <c r="L342" s="112"/>
      <c r="M342" s="112"/>
      <c r="N342" s="112"/>
    </row>
    <row r="343" spans="12:14">
      <c r="L343" s="112"/>
      <c r="M343" s="112"/>
      <c r="N343" s="112"/>
    </row>
    <row r="344" spans="12:14">
      <c r="L344" s="112"/>
      <c r="M344" s="112"/>
      <c r="N344" s="112"/>
    </row>
    <row r="345" spans="12:14">
      <c r="L345" s="112"/>
      <c r="M345" s="112"/>
      <c r="N345" s="112"/>
    </row>
    <row r="346" spans="12:14">
      <c r="L346" s="112"/>
      <c r="M346" s="112"/>
      <c r="N346" s="112"/>
    </row>
    <row r="347" spans="12:14">
      <c r="L347" s="112"/>
      <c r="M347" s="112"/>
      <c r="N347" s="112"/>
    </row>
    <row r="348" spans="12:14">
      <c r="L348" s="112"/>
      <c r="M348" s="112"/>
      <c r="N348" s="112"/>
    </row>
    <row r="349" spans="12:14">
      <c r="L349" s="112"/>
      <c r="M349" s="112"/>
      <c r="N349" s="112"/>
    </row>
    <row r="350" spans="12:14">
      <c r="L350" s="112"/>
      <c r="M350" s="112"/>
      <c r="N350" s="112"/>
    </row>
    <row r="351" spans="12:14">
      <c r="L351" s="112"/>
      <c r="M351" s="112"/>
      <c r="N351" s="112"/>
    </row>
    <row r="352" spans="12:14">
      <c r="L352" s="112"/>
      <c r="M352" s="112"/>
      <c r="N352" s="112"/>
    </row>
    <row r="353" spans="12:14">
      <c r="L353" s="112"/>
      <c r="M353" s="112"/>
      <c r="N353" s="112"/>
    </row>
    <row r="354" spans="12:14">
      <c r="L354" s="112"/>
      <c r="M354" s="112"/>
      <c r="N354" s="112"/>
    </row>
    <row r="355" spans="12:14">
      <c r="L355" s="112"/>
      <c r="M355" s="112"/>
      <c r="N355" s="112"/>
    </row>
    <row r="356" spans="12:14">
      <c r="L356" s="112"/>
      <c r="M356" s="112"/>
      <c r="N356" s="112"/>
    </row>
    <row r="357" spans="12:14">
      <c r="L357" s="112"/>
      <c r="M357" s="112"/>
      <c r="N357" s="112"/>
    </row>
    <row r="358" spans="12:14">
      <c r="L358" s="112"/>
      <c r="M358" s="112"/>
      <c r="N358" s="112"/>
    </row>
    <row r="359" spans="12:14">
      <c r="L359" s="112"/>
      <c r="M359" s="112"/>
      <c r="N359" s="112"/>
    </row>
    <row r="360" spans="12:14">
      <c r="L360" s="112"/>
      <c r="M360" s="112"/>
      <c r="N360" s="112"/>
    </row>
    <row r="361" spans="12:14">
      <c r="L361" s="112"/>
      <c r="M361" s="112"/>
      <c r="N361" s="112"/>
    </row>
    <row r="362" spans="12:14">
      <c r="L362" s="112"/>
      <c r="M362" s="112"/>
      <c r="N362" s="112"/>
    </row>
    <row r="363" spans="12:14">
      <c r="L363" s="112"/>
      <c r="M363" s="112"/>
      <c r="N363" s="112"/>
    </row>
    <row r="364" spans="12:14">
      <c r="L364" s="112"/>
      <c r="M364" s="112"/>
      <c r="N364" s="112"/>
    </row>
    <row r="365" spans="12:14">
      <c r="L365" s="112"/>
      <c r="M365" s="112"/>
      <c r="N365" s="112"/>
    </row>
    <row r="366" spans="12:14">
      <c r="L366" s="112"/>
      <c r="M366" s="112"/>
      <c r="N366" s="112"/>
    </row>
    <row r="367" spans="12:14">
      <c r="L367" s="112"/>
      <c r="M367" s="112"/>
      <c r="N367" s="112"/>
    </row>
    <row r="368" spans="12:14">
      <c r="L368" s="112"/>
      <c r="M368" s="112"/>
      <c r="N368" s="112"/>
    </row>
    <row r="369" spans="12:14">
      <c r="L369" s="112"/>
      <c r="M369" s="112"/>
      <c r="N369" s="112"/>
    </row>
    <row r="370" spans="12:14">
      <c r="L370" s="112"/>
      <c r="M370" s="112"/>
      <c r="N370" s="112"/>
    </row>
    <row r="371" spans="12:14">
      <c r="L371" s="112"/>
      <c r="M371" s="112"/>
      <c r="N371" s="112"/>
    </row>
    <row r="372" spans="12:14">
      <c r="L372" s="112"/>
      <c r="M372" s="112"/>
      <c r="N372" s="112"/>
    </row>
    <row r="373" spans="12:14">
      <c r="L373" s="112"/>
      <c r="M373" s="112"/>
      <c r="N373" s="112"/>
    </row>
    <row r="374" spans="12:14">
      <c r="L374" s="112"/>
      <c r="M374" s="112"/>
      <c r="N374" s="112"/>
    </row>
    <row r="375" spans="12:14">
      <c r="L375" s="112"/>
      <c r="M375" s="112"/>
      <c r="N375" s="112"/>
    </row>
    <row r="376" spans="12:14">
      <c r="L376" s="112"/>
      <c r="M376" s="112"/>
      <c r="N376" s="112"/>
    </row>
    <row r="377" spans="12:14">
      <c r="L377" s="112"/>
      <c r="M377" s="112"/>
      <c r="N377" s="112"/>
    </row>
    <row r="378" spans="12:14">
      <c r="L378" s="112"/>
      <c r="M378" s="112"/>
      <c r="N378" s="112"/>
    </row>
    <row r="379" spans="12:14">
      <c r="L379" s="112"/>
      <c r="M379" s="112"/>
      <c r="N379" s="112"/>
    </row>
    <row r="380" spans="12:14">
      <c r="L380" s="112"/>
      <c r="M380" s="112"/>
      <c r="N380" s="112"/>
    </row>
    <row r="381" spans="12:14">
      <c r="L381" s="112"/>
      <c r="M381" s="112"/>
      <c r="N381" s="112"/>
    </row>
    <row r="382" spans="12:14">
      <c r="L382" s="112"/>
      <c r="M382" s="112"/>
      <c r="N382" s="112"/>
    </row>
    <row r="383" spans="12:14">
      <c r="L383" s="112"/>
      <c r="M383" s="112"/>
      <c r="N383" s="112"/>
    </row>
    <row r="384" spans="12:14">
      <c r="L384" s="112"/>
      <c r="M384" s="112"/>
      <c r="N384" s="112"/>
    </row>
    <row r="385" spans="12:14">
      <c r="L385" s="112"/>
      <c r="M385" s="112"/>
      <c r="N385" s="112"/>
    </row>
    <row r="386" spans="12:14">
      <c r="L386" s="112"/>
      <c r="M386" s="112"/>
      <c r="N386" s="112"/>
    </row>
    <row r="387" spans="12:14">
      <c r="L387" s="112"/>
      <c r="M387" s="112"/>
      <c r="N387" s="112"/>
    </row>
    <row r="388" spans="12:14">
      <c r="L388" s="112"/>
      <c r="M388" s="112"/>
      <c r="N388" s="112"/>
    </row>
    <row r="389" spans="12:14">
      <c r="L389" s="112"/>
      <c r="M389" s="112"/>
      <c r="N389" s="112"/>
    </row>
    <row r="390" spans="12:14">
      <c r="L390" s="112"/>
      <c r="M390" s="112"/>
      <c r="N390" s="112"/>
    </row>
    <row r="391" spans="12:14">
      <c r="L391" s="112"/>
      <c r="M391" s="112"/>
      <c r="N391" s="112"/>
    </row>
    <row r="392" spans="12:14">
      <c r="L392" s="112"/>
      <c r="M392" s="112"/>
      <c r="N392" s="112"/>
    </row>
    <row r="393" spans="12:14">
      <c r="L393" s="112"/>
      <c r="M393" s="112"/>
      <c r="N393" s="112"/>
    </row>
    <row r="394" spans="12:14">
      <c r="L394" s="112"/>
      <c r="M394" s="112"/>
      <c r="N394" s="112"/>
    </row>
    <row r="395" spans="12:14">
      <c r="L395" s="112"/>
      <c r="M395" s="112"/>
      <c r="N395" s="112"/>
    </row>
    <row r="396" spans="12:14">
      <c r="L396" s="112"/>
      <c r="M396" s="112"/>
      <c r="N396" s="112"/>
    </row>
    <row r="397" spans="12:14">
      <c r="L397" s="112"/>
      <c r="M397" s="112"/>
      <c r="N397" s="112"/>
    </row>
    <row r="398" spans="12:14">
      <c r="L398" s="112"/>
      <c r="M398" s="112"/>
      <c r="N398" s="112"/>
    </row>
    <row r="399" spans="12:14">
      <c r="L399" s="112"/>
      <c r="M399" s="112"/>
      <c r="N399" s="112"/>
    </row>
    <row r="400" spans="12:14">
      <c r="L400" s="112"/>
      <c r="M400" s="112"/>
      <c r="N400" s="112"/>
    </row>
    <row r="401" spans="12:14">
      <c r="L401" s="112"/>
      <c r="M401" s="112"/>
      <c r="N401" s="112"/>
    </row>
    <row r="402" spans="12:14">
      <c r="L402" s="112"/>
      <c r="M402" s="112"/>
      <c r="N402" s="112"/>
    </row>
    <row r="403" spans="12:14">
      <c r="L403" s="112"/>
      <c r="M403" s="112"/>
      <c r="N403" s="112"/>
    </row>
    <row r="404" spans="12:14">
      <c r="L404" s="112"/>
      <c r="M404" s="112"/>
      <c r="N404" s="112"/>
    </row>
    <row r="405" spans="12:14">
      <c r="L405" s="112"/>
      <c r="M405" s="112"/>
      <c r="N405" s="112"/>
    </row>
    <row r="406" spans="12:14">
      <c r="L406" s="112"/>
      <c r="M406" s="112"/>
      <c r="N406" s="112"/>
    </row>
    <row r="407" spans="12:14">
      <c r="L407" s="112"/>
      <c r="M407" s="112"/>
      <c r="N407" s="112"/>
    </row>
    <row r="408" spans="12:14">
      <c r="L408" s="112"/>
      <c r="M408" s="112"/>
      <c r="N408" s="112"/>
    </row>
    <row r="409" spans="12:14">
      <c r="L409" s="112"/>
      <c r="M409" s="112"/>
      <c r="N409" s="112"/>
    </row>
    <row r="410" spans="12:14">
      <c r="L410" s="112"/>
      <c r="M410" s="112"/>
      <c r="N410" s="112"/>
    </row>
    <row r="411" spans="12:14">
      <c r="L411" s="112"/>
      <c r="M411" s="112"/>
      <c r="N411" s="112"/>
    </row>
    <row r="412" spans="12:14">
      <c r="L412" s="112"/>
      <c r="M412" s="112"/>
      <c r="N412" s="112"/>
    </row>
    <row r="413" spans="12:14">
      <c r="L413" s="112"/>
      <c r="M413" s="112"/>
      <c r="N413" s="112"/>
    </row>
    <row r="414" spans="12:14">
      <c r="L414" s="112"/>
      <c r="M414" s="112"/>
      <c r="N414" s="112"/>
    </row>
    <row r="415" spans="12:14">
      <c r="L415" s="112"/>
      <c r="M415" s="112"/>
      <c r="N415" s="112"/>
    </row>
    <row r="416" spans="12:14">
      <c r="L416" s="112"/>
      <c r="M416" s="112"/>
      <c r="N416" s="112"/>
    </row>
    <row r="417" spans="12:14">
      <c r="L417" s="112"/>
      <c r="M417" s="112"/>
      <c r="N417" s="112"/>
    </row>
    <row r="418" spans="12:14">
      <c r="L418" s="112"/>
      <c r="M418" s="112"/>
      <c r="N418" s="112"/>
    </row>
    <row r="419" spans="12:14">
      <c r="L419" s="112"/>
      <c r="M419" s="112"/>
      <c r="N419" s="112"/>
    </row>
    <row r="420" spans="12:14">
      <c r="L420" s="112"/>
      <c r="M420" s="112"/>
      <c r="N420" s="112"/>
    </row>
    <row r="421" spans="12:14">
      <c r="L421" s="112"/>
      <c r="M421" s="112"/>
      <c r="N421" s="112"/>
    </row>
    <row r="422" spans="12:14">
      <c r="L422" s="112"/>
      <c r="M422" s="112"/>
      <c r="N422" s="112"/>
    </row>
    <row r="423" spans="12:14">
      <c r="L423" s="112"/>
      <c r="M423" s="112"/>
      <c r="N423" s="112"/>
    </row>
    <row r="424" spans="12:14">
      <c r="L424" s="112"/>
      <c r="M424" s="112"/>
      <c r="N424" s="112"/>
    </row>
    <row r="425" spans="12:14">
      <c r="L425" s="112"/>
      <c r="M425" s="112"/>
      <c r="N425" s="112"/>
    </row>
    <row r="426" spans="12:14">
      <c r="L426" s="112"/>
      <c r="M426" s="112"/>
      <c r="N426" s="112"/>
    </row>
    <row r="427" spans="12:14">
      <c r="L427" s="112"/>
      <c r="M427" s="112"/>
      <c r="N427" s="112"/>
    </row>
    <row r="428" spans="12:14">
      <c r="L428" s="112"/>
      <c r="M428" s="112"/>
      <c r="N428" s="112"/>
    </row>
    <row r="429" spans="12:14">
      <c r="L429" s="112"/>
      <c r="M429" s="112"/>
      <c r="N429" s="112"/>
    </row>
    <row r="430" spans="12:14">
      <c r="L430" s="112"/>
      <c r="M430" s="112"/>
      <c r="N430" s="112"/>
    </row>
    <row r="431" spans="12:14">
      <c r="L431" s="112"/>
      <c r="M431" s="112"/>
      <c r="N431" s="112"/>
    </row>
    <row r="432" spans="12:14">
      <c r="L432" s="112"/>
      <c r="M432" s="112"/>
      <c r="N432" s="112"/>
    </row>
    <row r="433" spans="12:14">
      <c r="L433" s="112"/>
      <c r="M433" s="112"/>
      <c r="N433" s="112"/>
    </row>
    <row r="434" spans="12:14">
      <c r="L434" s="112"/>
      <c r="M434" s="112"/>
      <c r="N434" s="112"/>
    </row>
    <row r="435" spans="12:14">
      <c r="L435" s="112"/>
      <c r="M435" s="112"/>
      <c r="N435" s="112"/>
    </row>
    <row r="436" spans="12:14">
      <c r="L436" s="112"/>
      <c r="M436" s="112"/>
      <c r="N436" s="112"/>
    </row>
    <row r="437" spans="12:14">
      <c r="L437" s="112"/>
      <c r="M437" s="112"/>
      <c r="N437" s="112"/>
    </row>
    <row r="438" spans="12:14">
      <c r="L438" s="112"/>
      <c r="M438" s="112"/>
      <c r="N438" s="112"/>
    </row>
    <row r="439" spans="12:14">
      <c r="L439" s="112"/>
      <c r="M439" s="112"/>
      <c r="N439" s="112"/>
    </row>
    <row r="440" spans="12:14">
      <c r="L440" s="112"/>
      <c r="M440" s="112"/>
      <c r="N440" s="112"/>
    </row>
    <row r="441" spans="12:14">
      <c r="L441" s="112"/>
      <c r="M441" s="112"/>
      <c r="N441" s="112"/>
    </row>
    <row r="442" spans="12:14">
      <c r="L442" s="112"/>
      <c r="M442" s="112"/>
      <c r="N442" s="112"/>
    </row>
    <row r="443" spans="12:14">
      <c r="L443" s="112"/>
      <c r="M443" s="112"/>
      <c r="N443" s="112"/>
    </row>
    <row r="444" spans="12:14">
      <c r="L444" s="112"/>
      <c r="M444" s="112"/>
      <c r="N444" s="112"/>
    </row>
    <row r="445" spans="12:14">
      <c r="L445" s="112"/>
      <c r="M445" s="112"/>
      <c r="N445" s="112"/>
    </row>
    <row r="446" spans="12:14">
      <c r="L446" s="112"/>
      <c r="M446" s="112"/>
      <c r="N446" s="112"/>
    </row>
    <row r="447" spans="12:14">
      <c r="L447" s="112"/>
      <c r="M447" s="112"/>
      <c r="N447" s="112"/>
    </row>
    <row r="448" spans="12:14">
      <c r="L448" s="112"/>
      <c r="M448" s="112"/>
      <c r="N448" s="112"/>
    </row>
    <row r="449" spans="12:14">
      <c r="L449" s="112"/>
      <c r="M449" s="112"/>
      <c r="N449" s="112"/>
    </row>
    <row r="450" spans="12:14">
      <c r="L450" s="112"/>
      <c r="M450" s="112"/>
      <c r="N450" s="112"/>
    </row>
    <row r="451" spans="12:14">
      <c r="L451" s="112"/>
      <c r="M451" s="112"/>
      <c r="N451" s="112"/>
    </row>
    <row r="452" spans="12:14">
      <c r="L452" s="112"/>
      <c r="M452" s="112"/>
      <c r="N452" s="112"/>
    </row>
    <row r="453" spans="12:14">
      <c r="L453" s="112"/>
      <c r="M453" s="112"/>
      <c r="N453" s="112"/>
    </row>
    <row r="454" spans="12:14">
      <c r="L454" s="112"/>
      <c r="M454" s="112"/>
      <c r="N454" s="112"/>
    </row>
    <row r="455" spans="12:14">
      <c r="L455" s="112"/>
      <c r="M455" s="112"/>
      <c r="N455" s="112"/>
    </row>
    <row r="456" spans="12:14">
      <c r="L456" s="112"/>
      <c r="M456" s="112"/>
      <c r="N456" s="112"/>
    </row>
    <row r="457" spans="12:14">
      <c r="L457" s="112"/>
      <c r="M457" s="112"/>
      <c r="N457" s="112"/>
    </row>
    <row r="458" spans="12:14">
      <c r="L458" s="112"/>
      <c r="M458" s="112"/>
      <c r="N458" s="112"/>
    </row>
    <row r="459" spans="12:14">
      <c r="L459" s="112"/>
      <c r="M459" s="112"/>
      <c r="N459" s="112"/>
    </row>
    <row r="460" spans="12:14">
      <c r="L460" s="112"/>
      <c r="M460" s="112"/>
      <c r="N460" s="112"/>
    </row>
    <row r="461" spans="12:14">
      <c r="L461" s="112"/>
      <c r="M461" s="112"/>
      <c r="N461" s="112"/>
    </row>
    <row r="462" spans="12:14">
      <c r="L462" s="112"/>
      <c r="M462" s="112"/>
      <c r="N462" s="112"/>
    </row>
    <row r="463" spans="12:14">
      <c r="L463" s="112"/>
      <c r="M463" s="112"/>
      <c r="N463" s="112"/>
    </row>
    <row r="464" spans="12:14">
      <c r="L464" s="112"/>
      <c r="M464" s="112"/>
      <c r="N464" s="112"/>
    </row>
    <row r="465" spans="12:14">
      <c r="L465" s="112"/>
      <c r="M465" s="112"/>
      <c r="N465" s="112"/>
    </row>
    <row r="466" spans="12:14">
      <c r="L466" s="112"/>
      <c r="M466" s="112"/>
      <c r="N466" s="112"/>
    </row>
    <row r="467" spans="12:14">
      <c r="L467" s="112"/>
      <c r="M467" s="112"/>
      <c r="N467" s="112"/>
    </row>
    <row r="468" spans="12:14">
      <c r="L468" s="112"/>
      <c r="M468" s="112"/>
      <c r="N468" s="112"/>
    </row>
    <row r="469" spans="12:14">
      <c r="L469" s="112"/>
      <c r="M469" s="112"/>
      <c r="N469" s="112"/>
    </row>
    <row r="470" spans="12:14">
      <c r="L470" s="112"/>
      <c r="M470" s="112"/>
      <c r="N470" s="112"/>
    </row>
    <row r="471" spans="12:14">
      <c r="L471" s="112"/>
      <c r="M471" s="112"/>
      <c r="N471" s="112"/>
    </row>
    <row r="472" spans="12:14">
      <c r="L472" s="112"/>
      <c r="M472" s="112"/>
      <c r="N472" s="112"/>
    </row>
    <row r="473" spans="12:14">
      <c r="L473" s="112"/>
      <c r="M473" s="112"/>
      <c r="N473" s="112"/>
    </row>
    <row r="474" spans="12:14">
      <c r="L474" s="112"/>
      <c r="M474" s="112"/>
      <c r="N474" s="112"/>
    </row>
    <row r="475" spans="12:14">
      <c r="L475" s="112"/>
      <c r="M475" s="112"/>
      <c r="N475" s="112"/>
    </row>
    <row r="476" spans="12:14">
      <c r="L476" s="112"/>
      <c r="M476" s="112"/>
      <c r="N476" s="112"/>
    </row>
    <row r="477" spans="12:14">
      <c r="L477" s="112"/>
      <c r="M477" s="112"/>
      <c r="N477" s="112"/>
    </row>
    <row r="478" spans="12:14">
      <c r="L478" s="112"/>
      <c r="M478" s="112"/>
      <c r="N478" s="112"/>
    </row>
    <row r="479" spans="12:14">
      <c r="L479" s="112"/>
      <c r="M479" s="112"/>
      <c r="N479" s="112"/>
    </row>
    <row r="480" spans="12:14">
      <c r="L480" s="112"/>
      <c r="M480" s="112"/>
      <c r="N480" s="112"/>
    </row>
    <row r="481" spans="12:14">
      <c r="L481" s="112"/>
      <c r="M481" s="112"/>
      <c r="N481" s="112"/>
    </row>
    <row r="482" spans="12:14">
      <c r="L482" s="112"/>
      <c r="M482" s="112"/>
      <c r="N482" s="112"/>
    </row>
    <row r="483" spans="12:14">
      <c r="L483" s="112"/>
      <c r="M483" s="112"/>
      <c r="N483" s="112"/>
    </row>
    <row r="484" spans="12:14">
      <c r="L484" s="112"/>
      <c r="M484" s="112"/>
      <c r="N484" s="112"/>
    </row>
    <row r="485" spans="12:14">
      <c r="L485" s="112"/>
      <c r="M485" s="112"/>
      <c r="N485" s="112"/>
    </row>
    <row r="486" spans="12:14">
      <c r="L486" s="112"/>
      <c r="M486" s="112"/>
      <c r="N486" s="112"/>
    </row>
    <row r="487" spans="12:14">
      <c r="L487" s="112"/>
      <c r="M487" s="112"/>
      <c r="N487" s="112"/>
    </row>
    <row r="488" spans="12:14">
      <c r="L488" s="112"/>
      <c r="M488" s="112"/>
      <c r="N488" s="112"/>
    </row>
    <row r="489" spans="12:14">
      <c r="L489" s="112"/>
      <c r="M489" s="112"/>
      <c r="N489" s="112"/>
    </row>
    <row r="490" spans="12:14">
      <c r="L490" s="112"/>
      <c r="M490" s="112"/>
      <c r="N490" s="112"/>
    </row>
    <row r="491" spans="12:14">
      <c r="L491" s="112"/>
      <c r="M491" s="112"/>
      <c r="N491" s="112"/>
    </row>
    <row r="492" spans="12:14">
      <c r="L492" s="112"/>
      <c r="M492" s="112"/>
      <c r="N492" s="112"/>
    </row>
  </sheetData>
  <autoFilter ref="A2:R146">
    <sortState ref="A3:R146">
      <sortCondition ref="A2:A196"/>
    </sortState>
  </autoFilter>
  <sortState ref="B3:R196">
    <sortCondition ref="O3:O196"/>
    <sortCondition ref="P3:P196"/>
    <sortCondition ref="R3:R196"/>
  </sortState>
  <mergeCells count="1">
    <mergeCell ref="C1:D1"/>
  </mergeCells>
  <phoneticPr fontId="4" type="noConversion"/>
  <printOptions horizontalCentered="1"/>
  <pageMargins left="0.35433070866141742" right="0.39370078740157483" top="0.47244094488188981" bottom="0.39370078740157483" header="0.23622047244094491" footer="0"/>
  <pageSetup paperSize="9" scale="70" fitToWidth="0" orientation="portrait" r:id="rId1"/>
  <rowBreaks count="1" manualBreakCount="1">
    <brk id="50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Natural_Sort">
                <anchor moveWithCells="1" sizeWithCells="1">
                  <from>
                    <xdr:col>11</xdr:col>
                    <xdr:colOff>104775</xdr:colOff>
                    <xdr:row>0</xdr:row>
                    <xdr:rowOff>123825</xdr:rowOff>
                  </from>
                  <to>
                    <xdr:col>12</xdr:col>
                    <xdr:colOff>114300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_xludf.clear">
                <anchor moveWithCells="1" sizeWithCells="1">
                  <from>
                    <xdr:col>21</xdr:col>
                    <xdr:colOff>257175</xdr:colOff>
                    <xdr:row>0</xdr:row>
                    <xdr:rowOff>123825</xdr:rowOff>
                  </from>
                  <to>
                    <xdr:col>22</xdr:col>
                    <xdr:colOff>371475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ransferToRePCR">
                <anchor moveWithCells="1" sizeWithCells="1">
                  <from>
                    <xdr:col>16</xdr:col>
                    <xdr:colOff>85725</xdr:colOff>
                    <xdr:row>0</xdr:row>
                    <xdr:rowOff>123825</xdr:rowOff>
                  </from>
                  <to>
                    <xdr:col>17</xdr:col>
                    <xdr:colOff>200025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make_sheet_REF">
                <anchor moveWithCells="1" sizeWithCells="1">
                  <from>
                    <xdr:col>12</xdr:col>
                    <xdr:colOff>190500</xdr:colOff>
                    <xdr:row>0</xdr:row>
                    <xdr:rowOff>123825</xdr:rowOff>
                  </from>
                  <to>
                    <xdr:col>13</xdr:col>
                    <xdr:colOff>304800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make_sheet_LCN">
                <anchor moveWithCells="1" sizeWithCells="1">
                  <from>
                    <xdr:col>13</xdr:col>
                    <xdr:colOff>381000</xdr:colOff>
                    <xdr:row>0</xdr:row>
                    <xdr:rowOff>123825</xdr:rowOff>
                  </from>
                  <to>
                    <xdr:col>14</xdr:col>
                    <xdr:colOff>495300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ctivate_INJECTION">
                <anchor moveWithCells="1" sizeWithCells="1">
                  <from>
                    <xdr:col>19</xdr:col>
                    <xdr:colOff>628650</xdr:colOff>
                    <xdr:row>0</xdr:row>
                    <xdr:rowOff>123825</xdr:rowOff>
                  </from>
                  <to>
                    <xdr:col>21</xdr:col>
                    <xdr:colOff>57150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ExportDataWordTable">
                <anchor moveWithCells="1" sizeWithCells="1">
                  <from>
                    <xdr:col>17</xdr:col>
                    <xdr:colOff>285750</xdr:colOff>
                    <xdr:row>0</xdr:row>
                    <xdr:rowOff>123825</xdr:rowOff>
                  </from>
                  <to>
                    <xdr:col>19</xdr:col>
                    <xdr:colOff>495300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GenerateIndex">
                <anchor moveWithCells="1" sizeWithCells="1">
                  <from>
                    <xdr:col>14</xdr:col>
                    <xdr:colOff>600075</xdr:colOff>
                    <xdr:row>0</xdr:row>
                    <xdr:rowOff>114300</xdr:rowOff>
                  </from>
                  <to>
                    <xdr:col>16</xdr:col>
                    <xdr:colOff>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K498"/>
  <sheetViews>
    <sheetView view="pageBreakPreview" workbookViewId="0">
      <selection activeCell="E1" sqref="E1:E1048576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375" style="227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252" customFormat="1" ht="37.5" customHeight="1" thickBot="1">
      <c r="A1" s="30"/>
      <c r="B1" s="63" t="s">
        <v>163</v>
      </c>
      <c r="C1" s="314"/>
      <c r="D1" s="315"/>
      <c r="E1" s="2"/>
      <c r="F1" s="66"/>
      <c r="G1" s="54" t="s">
        <v>164</v>
      </c>
      <c r="H1"/>
      <c r="I1" s="252" t="s">
        <v>165</v>
      </c>
      <c r="J1" s="252" t="s">
        <v>166</v>
      </c>
      <c r="K1"/>
    </row>
    <row r="2" spans="1:11" s="149" customFormat="1" ht="34.5" customHeight="1">
      <c r="A2" s="148"/>
      <c r="B2" s="149" t="s">
        <v>364</v>
      </c>
      <c r="C2" s="149" t="s">
        <v>162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J3" s="163"/>
      <c r="K3" s="164"/>
    </row>
    <row r="4" spans="1:11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J4" s="163"/>
      <c r="K4" s="164"/>
    </row>
    <row r="5" spans="1:11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J5" s="163"/>
      <c r="K5" s="164"/>
    </row>
    <row r="6" spans="1:11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J6" s="163"/>
      <c r="K6" s="164"/>
    </row>
    <row r="7" spans="1:11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J7" s="163"/>
      <c r="K7" s="164"/>
    </row>
    <row r="8" spans="1:11" s="3" customFormat="1" ht="21" customHeight="1">
      <c r="A8" s="156" t="s">
        <v>17</v>
      </c>
      <c r="B8" s="167"/>
      <c r="C8" s="172"/>
      <c r="D8" s="159"/>
      <c r="E8" s="230"/>
      <c r="F8" s="160"/>
      <c r="G8" s="161"/>
      <c r="H8" s="162"/>
      <c r="J8" s="163"/>
      <c r="K8" s="164"/>
    </row>
    <row r="9" spans="1:11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72"/>
      <c r="D31" s="159"/>
      <c r="E31" s="230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94"/>
      <c r="D38" s="195"/>
      <c r="E38" s="234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72"/>
      <c r="D39" s="159"/>
      <c r="E39" s="230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68"/>
      <c r="D73" s="195"/>
      <c r="E73" s="234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68"/>
      <c r="D74" s="176"/>
      <c r="E74" s="232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30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31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31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31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30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30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30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32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33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31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31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34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30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54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54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32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30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31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31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31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31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54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34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32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30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31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31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31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31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54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34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55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30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30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30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30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30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3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54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55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3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3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3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3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3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54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34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55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3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54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54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54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54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54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54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55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3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3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34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3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54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54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54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55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34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144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144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144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144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144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144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55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20"/>
      <c r="F147" s="221"/>
      <c r="G147" s="222"/>
    </row>
    <row r="148" spans="1:11" s="112" customFormat="1">
      <c r="A148" s="216"/>
      <c r="B148" s="217"/>
      <c r="C148" s="218"/>
      <c r="D148" s="219"/>
      <c r="E148" s="220"/>
      <c r="F148" s="221"/>
      <c r="G148" s="222"/>
    </row>
    <row r="149" spans="1:11" s="112" customFormat="1">
      <c r="A149" s="216"/>
      <c r="B149" s="217"/>
      <c r="C149" s="218"/>
      <c r="D149" s="219"/>
      <c r="E149" s="220"/>
      <c r="F149" s="221"/>
      <c r="G149" s="222"/>
    </row>
    <row r="150" spans="1:11" s="112" customFormat="1">
      <c r="A150" s="216"/>
      <c r="B150" s="217"/>
      <c r="C150" s="218"/>
      <c r="D150" s="219"/>
      <c r="E150" s="220"/>
      <c r="F150" s="221"/>
      <c r="G150" s="222"/>
    </row>
    <row r="151" spans="1:11" s="112" customFormat="1">
      <c r="A151" s="216"/>
      <c r="B151" s="217"/>
      <c r="C151" s="218"/>
      <c r="D151" s="219"/>
      <c r="E151" s="220"/>
      <c r="F151" s="221"/>
      <c r="G151" s="222"/>
    </row>
    <row r="152" spans="1:11" s="112" customFormat="1">
      <c r="A152" s="216"/>
      <c r="B152" s="217"/>
      <c r="C152" s="218"/>
      <c r="D152" s="219"/>
      <c r="E152" s="220"/>
      <c r="F152" s="221"/>
      <c r="G152" s="222"/>
    </row>
    <row r="153" spans="1:11" s="112" customFormat="1">
      <c r="A153" s="216"/>
      <c r="B153" s="217"/>
      <c r="C153" s="218"/>
      <c r="D153" s="219"/>
      <c r="E153" s="220"/>
      <c r="F153" s="221"/>
      <c r="G153" s="222"/>
    </row>
    <row r="154" spans="1:11" s="112" customFormat="1">
      <c r="A154" s="216"/>
      <c r="B154" s="217"/>
      <c r="C154" s="218"/>
      <c r="D154" s="219"/>
      <c r="E154" s="220"/>
      <c r="F154" s="221"/>
      <c r="G154" s="222"/>
    </row>
    <row r="155" spans="1:11" s="112" customFormat="1">
      <c r="A155" s="216"/>
      <c r="B155" s="217"/>
      <c r="C155" s="218"/>
      <c r="D155" s="219"/>
      <c r="E155" s="220"/>
      <c r="F155" s="221"/>
      <c r="G155" s="222"/>
    </row>
    <row r="156" spans="1:11" s="112" customFormat="1">
      <c r="A156" s="216"/>
      <c r="B156" s="217"/>
      <c r="C156" s="218"/>
      <c r="D156" s="219"/>
      <c r="E156" s="220"/>
      <c r="F156" s="221"/>
      <c r="G156" s="222"/>
    </row>
    <row r="157" spans="1:11" s="112" customFormat="1">
      <c r="A157" s="216"/>
      <c r="B157" s="217"/>
      <c r="C157" s="218"/>
      <c r="D157" s="219"/>
      <c r="E157" s="220"/>
      <c r="F157" s="221"/>
      <c r="G157" s="222"/>
    </row>
    <row r="158" spans="1:11" s="112" customFormat="1">
      <c r="A158" s="216"/>
      <c r="B158" s="217"/>
      <c r="C158" s="218"/>
      <c r="D158" s="219"/>
      <c r="E158" s="220"/>
      <c r="F158" s="221"/>
      <c r="G158" s="222"/>
    </row>
    <row r="159" spans="1:11" s="112" customFormat="1">
      <c r="A159" s="216"/>
      <c r="B159" s="217"/>
      <c r="C159" s="218"/>
      <c r="D159" s="219"/>
      <c r="E159" s="220"/>
      <c r="F159" s="221"/>
      <c r="G159" s="222"/>
    </row>
    <row r="160" spans="1:11" s="112" customFormat="1">
      <c r="A160" s="216"/>
      <c r="B160" s="217"/>
      <c r="C160" s="218"/>
      <c r="D160" s="219"/>
      <c r="E160" s="220"/>
      <c r="F160" s="221"/>
      <c r="G160" s="222"/>
    </row>
    <row r="161" spans="1:7" s="112" customFormat="1">
      <c r="A161" s="216"/>
      <c r="B161" s="217"/>
      <c r="C161" s="218"/>
      <c r="D161" s="219"/>
      <c r="E161" s="220"/>
      <c r="F161" s="221"/>
      <c r="G161" s="222"/>
    </row>
    <row r="162" spans="1:7" s="112" customFormat="1">
      <c r="A162" s="216"/>
      <c r="B162" s="217"/>
      <c r="C162" s="218"/>
      <c r="D162" s="219"/>
      <c r="E162" s="220"/>
      <c r="F162" s="221"/>
      <c r="G162" s="222"/>
    </row>
    <row r="163" spans="1:7" s="112" customFormat="1">
      <c r="A163" s="216"/>
      <c r="B163" s="217"/>
      <c r="C163" s="218"/>
      <c r="D163" s="219"/>
      <c r="E163" s="220"/>
      <c r="F163" s="221"/>
      <c r="G163" s="222"/>
    </row>
    <row r="164" spans="1:7" s="112" customFormat="1">
      <c r="A164" s="216"/>
      <c r="B164" s="217"/>
      <c r="C164" s="218"/>
      <c r="D164" s="219"/>
      <c r="E164" s="220"/>
      <c r="F164" s="221"/>
      <c r="G164" s="222"/>
    </row>
    <row r="165" spans="1:7" s="112" customFormat="1">
      <c r="A165" s="216"/>
      <c r="B165" s="217"/>
      <c r="C165" s="218"/>
      <c r="D165" s="219"/>
      <c r="E165" s="220"/>
      <c r="F165" s="221"/>
      <c r="G165" s="222"/>
    </row>
    <row r="166" spans="1:7" s="112" customFormat="1">
      <c r="A166" s="216"/>
      <c r="B166" s="217"/>
      <c r="C166" s="218"/>
      <c r="D166" s="219"/>
      <c r="E166" s="220"/>
      <c r="F166" s="221"/>
      <c r="G166" s="222"/>
    </row>
    <row r="167" spans="1:7" s="112" customFormat="1">
      <c r="A167" s="216"/>
      <c r="B167" s="217"/>
      <c r="C167" s="218"/>
      <c r="D167" s="219"/>
      <c r="E167" s="220"/>
      <c r="F167" s="221"/>
      <c r="G167" s="222"/>
    </row>
    <row r="168" spans="1:7" s="112" customFormat="1">
      <c r="A168" s="216"/>
      <c r="B168" s="217"/>
      <c r="C168" s="218"/>
      <c r="D168" s="219"/>
      <c r="E168" s="220"/>
      <c r="F168" s="221"/>
      <c r="G168" s="222"/>
    </row>
    <row r="169" spans="1:7" s="112" customFormat="1">
      <c r="A169" s="216"/>
      <c r="B169" s="217"/>
      <c r="C169" s="218"/>
      <c r="D169" s="219"/>
      <c r="E169" s="220"/>
      <c r="F169" s="221"/>
      <c r="G169" s="222"/>
    </row>
    <row r="170" spans="1:7" s="112" customFormat="1">
      <c r="A170" s="216"/>
      <c r="B170" s="217"/>
      <c r="C170" s="218"/>
      <c r="D170" s="219"/>
      <c r="E170" s="220"/>
      <c r="F170" s="221"/>
      <c r="G170" s="222"/>
    </row>
    <row r="171" spans="1:7" s="112" customFormat="1">
      <c r="A171" s="216"/>
      <c r="B171" s="217"/>
      <c r="C171" s="218"/>
      <c r="D171" s="219"/>
      <c r="E171" s="220"/>
      <c r="F171" s="221"/>
      <c r="G171" s="222"/>
    </row>
    <row r="172" spans="1:7" s="112" customFormat="1">
      <c r="A172" s="216"/>
      <c r="B172" s="217"/>
      <c r="C172" s="218"/>
      <c r="D172" s="219"/>
      <c r="E172" s="220"/>
      <c r="F172" s="221"/>
      <c r="G172" s="222"/>
    </row>
    <row r="173" spans="1:7" s="112" customFormat="1">
      <c r="A173" s="216"/>
      <c r="B173" s="217"/>
      <c r="C173" s="218"/>
      <c r="D173" s="219"/>
      <c r="E173" s="220"/>
      <c r="F173" s="221"/>
      <c r="G173" s="222"/>
    </row>
    <row r="174" spans="1:7" s="112" customFormat="1">
      <c r="A174" s="216"/>
      <c r="B174" s="217"/>
      <c r="C174" s="218"/>
      <c r="D174" s="219"/>
      <c r="E174" s="220"/>
      <c r="F174" s="221"/>
      <c r="G174" s="222"/>
    </row>
    <row r="175" spans="1:7" s="112" customFormat="1">
      <c r="A175" s="216"/>
      <c r="B175" s="217"/>
      <c r="C175" s="218"/>
      <c r="D175" s="219"/>
      <c r="E175" s="220"/>
      <c r="F175" s="221"/>
      <c r="G175" s="222"/>
    </row>
    <row r="176" spans="1:7" s="112" customFormat="1">
      <c r="A176" s="216"/>
      <c r="B176" s="217"/>
      <c r="C176" s="218"/>
      <c r="D176" s="219"/>
      <c r="E176" s="220"/>
      <c r="F176" s="221"/>
      <c r="G176" s="222"/>
    </row>
    <row r="177" spans="1:7" s="112" customFormat="1">
      <c r="A177" s="216"/>
      <c r="B177" s="217"/>
      <c r="C177" s="218"/>
      <c r="D177" s="219"/>
      <c r="E177" s="220"/>
      <c r="F177" s="221"/>
      <c r="G177" s="222"/>
    </row>
    <row r="178" spans="1:7" s="112" customFormat="1">
      <c r="A178" s="216"/>
      <c r="B178" s="217"/>
      <c r="C178" s="218"/>
      <c r="D178" s="219"/>
      <c r="E178" s="220"/>
      <c r="F178" s="221"/>
      <c r="G178" s="222"/>
    </row>
    <row r="179" spans="1:7" s="112" customFormat="1">
      <c r="A179" s="216"/>
      <c r="B179" s="217"/>
      <c r="C179" s="218"/>
      <c r="D179" s="219"/>
      <c r="E179" s="220"/>
      <c r="F179" s="221"/>
      <c r="G179" s="222"/>
    </row>
    <row r="180" spans="1:7" s="112" customFormat="1">
      <c r="A180" s="216"/>
      <c r="B180" s="217"/>
      <c r="C180" s="218"/>
      <c r="D180" s="219"/>
      <c r="E180" s="220"/>
      <c r="F180" s="221"/>
      <c r="G180" s="222"/>
    </row>
    <row r="181" spans="1:7" s="112" customFormat="1">
      <c r="A181" s="216"/>
      <c r="B181" s="217"/>
      <c r="C181" s="218"/>
      <c r="D181" s="219"/>
      <c r="E181" s="220"/>
      <c r="F181" s="221"/>
      <c r="G181" s="222"/>
    </row>
    <row r="182" spans="1:7" s="112" customFormat="1">
      <c r="A182" s="216"/>
      <c r="B182" s="217"/>
      <c r="C182" s="218"/>
      <c r="D182" s="219"/>
      <c r="E182" s="220"/>
      <c r="F182" s="221"/>
      <c r="G182" s="222"/>
    </row>
    <row r="183" spans="1:7" s="112" customFormat="1">
      <c r="A183" s="216"/>
      <c r="B183" s="217"/>
      <c r="C183" s="218"/>
      <c r="D183" s="219"/>
      <c r="E183" s="220"/>
      <c r="F183" s="221"/>
      <c r="G183" s="222"/>
    </row>
    <row r="184" spans="1:7" s="112" customFormat="1">
      <c r="A184" s="216"/>
      <c r="B184" s="217"/>
      <c r="C184" s="218"/>
      <c r="D184" s="219"/>
      <c r="E184" s="220"/>
      <c r="F184" s="221"/>
      <c r="G184" s="222"/>
    </row>
    <row r="185" spans="1:7" s="112" customFormat="1">
      <c r="A185" s="216"/>
      <c r="B185" s="217"/>
      <c r="C185" s="218"/>
      <c r="D185" s="219"/>
      <c r="E185" s="220"/>
      <c r="F185" s="221"/>
      <c r="G185" s="222"/>
    </row>
    <row r="186" spans="1:7" s="112" customFormat="1">
      <c r="A186" s="216"/>
      <c r="B186" s="217"/>
      <c r="C186" s="218"/>
      <c r="D186" s="219"/>
      <c r="E186" s="220"/>
      <c r="F186" s="221"/>
      <c r="G186" s="222"/>
    </row>
    <row r="187" spans="1:7" s="112" customFormat="1">
      <c r="A187" s="216"/>
      <c r="B187" s="217"/>
      <c r="C187" s="218"/>
      <c r="D187" s="219"/>
      <c r="E187" s="220"/>
      <c r="F187" s="221"/>
      <c r="G187" s="222"/>
    </row>
    <row r="188" spans="1:7" s="112" customFormat="1">
      <c r="A188" s="216"/>
      <c r="B188" s="217"/>
      <c r="C188" s="218"/>
      <c r="D188" s="219"/>
      <c r="E188" s="220"/>
      <c r="F188" s="221"/>
      <c r="G188" s="222"/>
    </row>
    <row r="189" spans="1:7" s="112" customFormat="1">
      <c r="A189" s="216"/>
      <c r="B189" s="217"/>
      <c r="C189" s="218"/>
      <c r="D189" s="219"/>
      <c r="E189" s="220"/>
      <c r="F189" s="221"/>
      <c r="G189" s="222"/>
    </row>
    <row r="190" spans="1:7" s="112" customFormat="1">
      <c r="A190" s="216"/>
      <c r="B190" s="217"/>
      <c r="C190" s="218"/>
      <c r="D190" s="219"/>
      <c r="E190" s="220"/>
      <c r="F190" s="221"/>
      <c r="G190" s="222"/>
    </row>
    <row r="191" spans="1:7" s="112" customFormat="1">
      <c r="A191" s="216"/>
      <c r="B191" s="217"/>
      <c r="C191" s="218"/>
      <c r="D191" s="219"/>
      <c r="E191" s="220"/>
      <c r="F191" s="221"/>
      <c r="G191" s="222"/>
    </row>
    <row r="192" spans="1:7" s="112" customFormat="1">
      <c r="A192" s="216"/>
      <c r="B192" s="217"/>
      <c r="C192" s="218"/>
      <c r="D192" s="219"/>
      <c r="E192" s="220"/>
      <c r="F192" s="221"/>
      <c r="G192" s="222"/>
    </row>
    <row r="193" spans="1:7" s="112" customFormat="1">
      <c r="A193" s="216"/>
      <c r="B193" s="217"/>
      <c r="C193" s="218"/>
      <c r="D193" s="219"/>
      <c r="E193" s="220"/>
      <c r="F193" s="221"/>
      <c r="G193" s="222"/>
    </row>
    <row r="194" spans="1:7" s="112" customFormat="1">
      <c r="A194" s="216"/>
      <c r="B194" s="217"/>
      <c r="C194" s="218"/>
      <c r="D194" s="219"/>
      <c r="E194" s="220"/>
      <c r="F194" s="221"/>
      <c r="G194" s="222"/>
    </row>
    <row r="195" spans="1:7" s="112" customFormat="1">
      <c r="A195" s="216"/>
      <c r="B195" s="217"/>
      <c r="C195" s="218"/>
      <c r="D195" s="219"/>
      <c r="E195" s="220"/>
      <c r="F195" s="221"/>
      <c r="G195" s="222"/>
    </row>
    <row r="196" spans="1:7" s="112" customFormat="1">
      <c r="A196" s="216"/>
      <c r="B196" s="217"/>
      <c r="C196" s="218"/>
      <c r="D196" s="219"/>
      <c r="E196" s="220"/>
      <c r="F196" s="221"/>
      <c r="G196" s="222"/>
    </row>
    <row r="197" spans="1:7" s="112" customFormat="1">
      <c r="A197" s="216"/>
      <c r="B197" s="217"/>
      <c r="C197" s="218"/>
      <c r="D197" s="219"/>
      <c r="E197" s="220"/>
      <c r="F197" s="221"/>
      <c r="G197" s="222"/>
    </row>
    <row r="198" spans="1:7" s="112" customFormat="1">
      <c r="A198" s="216"/>
      <c r="B198" s="217"/>
      <c r="C198" s="218"/>
      <c r="D198" s="219"/>
      <c r="E198" s="220"/>
      <c r="F198" s="221"/>
      <c r="G198" s="222"/>
    </row>
    <row r="199" spans="1:7" s="112" customFormat="1">
      <c r="A199" s="216"/>
      <c r="B199" s="217"/>
      <c r="C199" s="218"/>
      <c r="D199" s="219"/>
      <c r="E199" s="220"/>
      <c r="F199" s="221"/>
      <c r="G199" s="222"/>
    </row>
    <row r="200" spans="1:7" s="112" customFormat="1">
      <c r="A200" s="216"/>
      <c r="B200" s="217"/>
      <c r="C200" s="218"/>
      <c r="D200" s="219"/>
      <c r="E200" s="220"/>
      <c r="F200" s="221"/>
      <c r="G200" s="222"/>
    </row>
    <row r="201" spans="1:7" s="112" customFormat="1">
      <c r="A201" s="216"/>
      <c r="B201" s="217"/>
      <c r="C201" s="218"/>
      <c r="D201" s="219"/>
      <c r="E201" s="220"/>
      <c r="F201" s="221"/>
      <c r="G201" s="222"/>
    </row>
    <row r="202" spans="1:7" s="112" customFormat="1">
      <c r="A202" s="216"/>
      <c r="B202" s="217"/>
      <c r="C202" s="218"/>
      <c r="D202" s="219"/>
      <c r="E202" s="220"/>
      <c r="F202" s="221"/>
      <c r="G202" s="222"/>
    </row>
    <row r="203" spans="1:7" s="112" customFormat="1">
      <c r="A203" s="216"/>
      <c r="B203" s="217"/>
      <c r="C203" s="218"/>
      <c r="D203" s="219"/>
      <c r="E203" s="220"/>
      <c r="F203" s="221"/>
      <c r="G203" s="222"/>
    </row>
    <row r="204" spans="1:7" s="112" customFormat="1">
      <c r="A204" s="216"/>
      <c r="B204" s="217"/>
      <c r="C204" s="218"/>
      <c r="D204" s="219"/>
      <c r="E204" s="220"/>
      <c r="F204" s="221"/>
      <c r="G204" s="222"/>
    </row>
    <row r="205" spans="1:7" s="112" customFormat="1">
      <c r="A205" s="216"/>
      <c r="B205" s="217"/>
      <c r="C205" s="218"/>
      <c r="D205" s="219"/>
      <c r="E205" s="220"/>
      <c r="F205" s="221"/>
      <c r="G205" s="222"/>
    </row>
    <row r="206" spans="1:7" s="112" customFormat="1">
      <c r="A206" s="216"/>
      <c r="B206" s="217"/>
      <c r="C206" s="218"/>
      <c r="D206" s="219"/>
      <c r="E206" s="220"/>
      <c r="F206" s="221"/>
      <c r="G206" s="222"/>
    </row>
    <row r="207" spans="1:7" s="112" customFormat="1">
      <c r="A207" s="216"/>
      <c r="B207" s="217"/>
      <c r="C207" s="218"/>
      <c r="D207" s="219"/>
      <c r="E207" s="220"/>
      <c r="F207" s="221"/>
      <c r="G207" s="222"/>
    </row>
    <row r="208" spans="1:7" s="112" customFormat="1">
      <c r="A208" s="216"/>
      <c r="B208" s="217"/>
      <c r="C208" s="218"/>
      <c r="D208" s="219"/>
      <c r="E208" s="220"/>
      <c r="F208" s="221"/>
      <c r="G208" s="222"/>
    </row>
    <row r="209" spans="1:7" s="112" customFormat="1">
      <c r="A209" s="216"/>
      <c r="B209" s="217"/>
      <c r="C209" s="218"/>
      <c r="D209" s="219"/>
      <c r="E209" s="220"/>
      <c r="F209" s="221"/>
      <c r="G209" s="222"/>
    </row>
    <row r="210" spans="1:7" s="112" customFormat="1">
      <c r="A210" s="216"/>
      <c r="B210" s="217"/>
      <c r="C210" s="218"/>
      <c r="D210" s="219"/>
      <c r="E210" s="220"/>
      <c r="F210" s="221"/>
      <c r="G210" s="222"/>
    </row>
    <row r="211" spans="1:7" s="112" customFormat="1">
      <c r="A211" s="216"/>
      <c r="B211" s="217"/>
      <c r="C211" s="218"/>
      <c r="D211" s="219"/>
      <c r="E211" s="220"/>
      <c r="F211" s="221"/>
      <c r="G211" s="222"/>
    </row>
    <row r="212" spans="1:7" s="112" customFormat="1">
      <c r="A212" s="216"/>
      <c r="B212" s="217"/>
      <c r="C212" s="218"/>
      <c r="D212" s="219"/>
      <c r="E212" s="220"/>
      <c r="F212" s="221"/>
      <c r="G212" s="222"/>
    </row>
    <row r="213" spans="1:7" s="112" customFormat="1">
      <c r="A213" s="216"/>
      <c r="B213" s="217"/>
      <c r="C213" s="218"/>
      <c r="D213" s="219"/>
      <c r="E213" s="220"/>
      <c r="F213" s="221"/>
      <c r="G213" s="222"/>
    </row>
    <row r="214" spans="1:7" s="112" customFormat="1">
      <c r="A214" s="216"/>
      <c r="B214" s="217"/>
      <c r="C214" s="218"/>
      <c r="D214" s="219"/>
      <c r="E214" s="220"/>
      <c r="F214" s="221"/>
      <c r="G214" s="222"/>
    </row>
    <row r="215" spans="1:7" s="112" customFormat="1">
      <c r="A215" s="216"/>
      <c r="B215" s="217"/>
      <c r="C215" s="218"/>
      <c r="D215" s="219"/>
      <c r="E215" s="220"/>
      <c r="F215" s="221"/>
      <c r="G215" s="222"/>
    </row>
    <row r="216" spans="1:7" s="112" customFormat="1">
      <c r="A216" s="216"/>
      <c r="B216" s="217"/>
      <c r="C216" s="218"/>
      <c r="D216" s="219"/>
      <c r="E216" s="220"/>
      <c r="F216" s="221"/>
      <c r="G216" s="222"/>
    </row>
    <row r="217" spans="1:7" s="112" customFormat="1">
      <c r="A217" s="216"/>
      <c r="B217" s="217"/>
      <c r="C217" s="218"/>
      <c r="D217" s="219"/>
      <c r="E217" s="220"/>
      <c r="F217" s="221"/>
      <c r="G217" s="222"/>
    </row>
    <row r="218" spans="1:7" s="112" customFormat="1">
      <c r="A218" s="216"/>
      <c r="B218" s="217"/>
      <c r="C218" s="218"/>
      <c r="D218" s="219"/>
      <c r="E218" s="220"/>
      <c r="F218" s="221"/>
      <c r="G218" s="222"/>
    </row>
    <row r="219" spans="1:7" s="112" customFormat="1">
      <c r="A219" s="216"/>
      <c r="B219" s="217"/>
      <c r="C219" s="218"/>
      <c r="D219" s="219"/>
      <c r="E219" s="220"/>
      <c r="F219" s="221"/>
      <c r="G219" s="222"/>
    </row>
    <row r="220" spans="1:7" s="112" customFormat="1">
      <c r="A220" s="216"/>
      <c r="B220" s="217"/>
      <c r="C220" s="218"/>
      <c r="D220" s="219"/>
      <c r="E220" s="220"/>
      <c r="F220" s="221"/>
      <c r="G220" s="222"/>
    </row>
    <row r="221" spans="1:7" s="112" customFormat="1">
      <c r="A221" s="216"/>
      <c r="B221" s="217"/>
      <c r="C221" s="218"/>
      <c r="D221" s="219"/>
      <c r="E221" s="220"/>
      <c r="F221" s="221"/>
      <c r="G221" s="222"/>
    </row>
    <row r="222" spans="1:7" s="112" customFormat="1">
      <c r="A222" s="216"/>
      <c r="B222" s="217"/>
      <c r="C222" s="218"/>
      <c r="D222" s="219"/>
      <c r="E222" s="220"/>
      <c r="F222" s="221"/>
      <c r="G222" s="222"/>
    </row>
    <row r="223" spans="1:7" s="112" customFormat="1">
      <c r="A223" s="216"/>
      <c r="B223" s="217"/>
      <c r="C223" s="218"/>
      <c r="D223" s="219"/>
      <c r="E223" s="220"/>
      <c r="F223" s="221"/>
      <c r="G223" s="222"/>
    </row>
    <row r="224" spans="1:7" s="112" customFormat="1">
      <c r="A224" s="216"/>
      <c r="B224" s="217"/>
      <c r="C224" s="218"/>
      <c r="D224" s="219"/>
      <c r="E224" s="220"/>
      <c r="F224" s="221"/>
      <c r="G224" s="222"/>
    </row>
    <row r="225" spans="1:7" s="112" customFormat="1">
      <c r="A225" s="216"/>
      <c r="B225" s="217"/>
      <c r="C225" s="218"/>
      <c r="D225" s="219"/>
      <c r="E225" s="220"/>
      <c r="F225" s="221"/>
      <c r="G225" s="222"/>
    </row>
    <row r="226" spans="1:7" s="112" customFormat="1">
      <c r="A226" s="216"/>
      <c r="B226" s="217"/>
      <c r="C226" s="218"/>
      <c r="D226" s="219"/>
      <c r="E226" s="220"/>
      <c r="F226" s="221"/>
      <c r="G226" s="222"/>
    </row>
    <row r="227" spans="1:7" s="112" customFormat="1">
      <c r="A227" s="216"/>
      <c r="B227" s="217"/>
      <c r="C227" s="218"/>
      <c r="D227" s="219"/>
      <c r="E227" s="220"/>
      <c r="F227" s="221"/>
      <c r="G227" s="222"/>
    </row>
    <row r="228" spans="1:7" s="112" customFormat="1">
      <c r="A228" s="216"/>
      <c r="B228" s="217"/>
      <c r="C228" s="218"/>
      <c r="D228" s="219"/>
      <c r="E228" s="220"/>
      <c r="F228" s="221"/>
      <c r="G228" s="222"/>
    </row>
    <row r="229" spans="1:7" s="112" customFormat="1">
      <c r="A229" s="216"/>
      <c r="B229" s="217"/>
      <c r="C229" s="218"/>
      <c r="D229" s="219"/>
      <c r="E229" s="220"/>
      <c r="F229" s="221"/>
      <c r="G229" s="222"/>
    </row>
    <row r="230" spans="1:7" s="112" customFormat="1">
      <c r="A230" s="216"/>
      <c r="B230" s="217"/>
      <c r="C230" s="218"/>
      <c r="D230" s="219"/>
      <c r="E230" s="220"/>
      <c r="F230" s="221"/>
      <c r="G230" s="222"/>
    </row>
    <row r="231" spans="1:7" s="112" customFormat="1">
      <c r="A231" s="216"/>
      <c r="B231" s="217"/>
      <c r="C231" s="218"/>
      <c r="D231" s="219"/>
      <c r="E231" s="220"/>
      <c r="F231" s="221"/>
      <c r="G231" s="222"/>
    </row>
    <row r="232" spans="1:7" s="112" customFormat="1">
      <c r="A232" s="216"/>
      <c r="B232" s="217"/>
      <c r="C232" s="218"/>
      <c r="D232" s="219"/>
      <c r="E232" s="220"/>
      <c r="F232" s="221"/>
      <c r="G232" s="222"/>
    </row>
    <row r="233" spans="1:7" s="112" customFormat="1">
      <c r="A233" s="216"/>
      <c r="B233" s="217"/>
      <c r="C233" s="218"/>
      <c r="D233" s="219"/>
      <c r="E233" s="220"/>
      <c r="F233" s="221"/>
      <c r="G233" s="222"/>
    </row>
    <row r="234" spans="1:7" s="112" customFormat="1">
      <c r="A234" s="216"/>
      <c r="B234" s="217"/>
      <c r="C234" s="218"/>
      <c r="D234" s="219"/>
      <c r="E234" s="220"/>
      <c r="F234" s="221"/>
      <c r="G234" s="222"/>
    </row>
    <row r="235" spans="1:7" s="112" customFormat="1">
      <c r="A235" s="216"/>
      <c r="B235" s="217"/>
      <c r="C235" s="218"/>
      <c r="D235" s="219"/>
      <c r="E235" s="220"/>
      <c r="F235" s="221"/>
      <c r="G235" s="222"/>
    </row>
    <row r="236" spans="1:7" s="112" customFormat="1">
      <c r="A236" s="216"/>
      <c r="B236" s="217"/>
      <c r="C236" s="218"/>
      <c r="D236" s="219"/>
      <c r="E236" s="220"/>
      <c r="F236" s="221"/>
      <c r="G236" s="222"/>
    </row>
    <row r="237" spans="1:7" s="112" customFormat="1">
      <c r="A237" s="216"/>
      <c r="B237" s="217"/>
      <c r="C237" s="218"/>
      <c r="D237" s="219"/>
      <c r="E237" s="220"/>
      <c r="F237" s="221"/>
      <c r="G237" s="222"/>
    </row>
    <row r="238" spans="1:7" s="112" customFormat="1">
      <c r="A238" s="216"/>
      <c r="B238" s="217"/>
      <c r="C238" s="218"/>
      <c r="D238" s="219"/>
      <c r="E238" s="220"/>
      <c r="F238" s="221"/>
      <c r="G238" s="222"/>
    </row>
    <row r="239" spans="1:7" s="112" customFormat="1">
      <c r="A239" s="216"/>
      <c r="B239" s="217"/>
      <c r="C239" s="218"/>
      <c r="D239" s="219"/>
      <c r="E239" s="220"/>
      <c r="F239" s="221"/>
      <c r="G239" s="222"/>
    </row>
    <row r="240" spans="1:7" s="112" customFormat="1">
      <c r="A240" s="216"/>
      <c r="B240" s="217"/>
      <c r="C240" s="218"/>
      <c r="D240" s="219"/>
      <c r="E240" s="220"/>
      <c r="F240" s="221"/>
      <c r="G240" s="222"/>
    </row>
    <row r="241" spans="1:7" s="112" customFormat="1">
      <c r="A241" s="216"/>
      <c r="B241" s="217"/>
      <c r="C241" s="218"/>
      <c r="D241" s="219"/>
      <c r="E241" s="220"/>
      <c r="F241" s="221"/>
      <c r="G241" s="222"/>
    </row>
    <row r="242" spans="1:7" s="112" customFormat="1">
      <c r="A242" s="216"/>
      <c r="B242" s="217"/>
      <c r="C242" s="218"/>
      <c r="D242" s="219"/>
      <c r="E242" s="220"/>
      <c r="F242" s="221"/>
      <c r="G242" s="222"/>
    </row>
    <row r="243" spans="1:7" s="112" customFormat="1">
      <c r="A243" s="216"/>
      <c r="B243" s="217"/>
      <c r="C243" s="218"/>
      <c r="D243" s="219"/>
      <c r="E243" s="220"/>
      <c r="F243" s="221"/>
      <c r="G243" s="222"/>
    </row>
    <row r="244" spans="1:7" s="112" customFormat="1">
      <c r="A244" s="216"/>
      <c r="B244" s="217"/>
      <c r="C244" s="218"/>
      <c r="D244" s="219"/>
      <c r="E244" s="220"/>
      <c r="F244" s="221"/>
      <c r="G244" s="222"/>
    </row>
    <row r="245" spans="1:7" s="112" customFormat="1">
      <c r="A245" s="216"/>
      <c r="B245" s="217"/>
      <c r="C245" s="218"/>
      <c r="D245" s="219"/>
      <c r="E245" s="220"/>
      <c r="F245" s="221"/>
      <c r="G245" s="222"/>
    </row>
    <row r="246" spans="1:7" s="112" customFormat="1">
      <c r="A246" s="216"/>
      <c r="B246" s="217"/>
      <c r="C246" s="218"/>
      <c r="D246" s="219"/>
      <c r="E246" s="220"/>
      <c r="F246" s="221"/>
      <c r="G246" s="222"/>
    </row>
    <row r="247" spans="1:7" s="112" customFormat="1">
      <c r="A247" s="216"/>
      <c r="B247" s="217"/>
      <c r="C247" s="218"/>
      <c r="D247" s="219"/>
      <c r="E247" s="220"/>
      <c r="F247" s="221"/>
      <c r="G247" s="222"/>
    </row>
    <row r="248" spans="1:7" s="112" customFormat="1">
      <c r="A248" s="216"/>
      <c r="B248" s="217"/>
      <c r="C248" s="218"/>
      <c r="D248" s="219"/>
      <c r="E248" s="220"/>
      <c r="F248" s="221"/>
      <c r="G248" s="222"/>
    </row>
    <row r="249" spans="1:7" s="112" customFormat="1">
      <c r="A249" s="216"/>
      <c r="B249" s="217"/>
      <c r="C249" s="218"/>
      <c r="D249" s="219"/>
      <c r="E249" s="220"/>
      <c r="F249" s="221"/>
      <c r="G249" s="222"/>
    </row>
    <row r="250" spans="1:7" s="112" customFormat="1">
      <c r="A250" s="216"/>
      <c r="B250" s="217"/>
      <c r="C250" s="218"/>
      <c r="D250" s="219"/>
      <c r="E250" s="220"/>
      <c r="F250" s="221"/>
      <c r="G250" s="222"/>
    </row>
    <row r="251" spans="1:7" s="112" customFormat="1">
      <c r="A251" s="216"/>
      <c r="B251" s="217"/>
      <c r="C251" s="218"/>
      <c r="D251" s="219"/>
      <c r="E251" s="220"/>
      <c r="F251" s="221"/>
      <c r="G251" s="222"/>
    </row>
    <row r="252" spans="1:7" s="112" customFormat="1">
      <c r="A252" s="216"/>
      <c r="B252" s="217"/>
      <c r="C252" s="218"/>
      <c r="D252" s="219"/>
      <c r="E252" s="220"/>
      <c r="F252" s="221"/>
      <c r="G252" s="222"/>
    </row>
    <row r="253" spans="1:7" s="112" customFormat="1">
      <c r="A253" s="216"/>
      <c r="B253" s="217"/>
      <c r="C253" s="218"/>
      <c r="D253" s="219"/>
      <c r="E253" s="220"/>
      <c r="F253" s="221"/>
      <c r="G253" s="222"/>
    </row>
    <row r="254" spans="1:7" s="112" customFormat="1">
      <c r="A254" s="216"/>
      <c r="B254" s="217"/>
      <c r="C254" s="218"/>
      <c r="D254" s="219"/>
      <c r="E254" s="220"/>
      <c r="F254" s="221"/>
      <c r="G254" s="222"/>
    </row>
    <row r="255" spans="1:7" s="112" customFormat="1">
      <c r="A255" s="216"/>
      <c r="B255" s="217"/>
      <c r="C255" s="218"/>
      <c r="D255" s="219"/>
      <c r="E255" s="220"/>
      <c r="F255" s="221"/>
      <c r="G255" s="222"/>
    </row>
    <row r="256" spans="1:7" s="112" customFormat="1">
      <c r="A256" s="216"/>
      <c r="B256" s="217"/>
      <c r="C256" s="218"/>
      <c r="D256" s="219"/>
      <c r="E256" s="220"/>
      <c r="F256" s="221"/>
      <c r="G256" s="222"/>
    </row>
    <row r="257" spans="1:7" s="112" customFormat="1">
      <c r="A257" s="216"/>
      <c r="B257" s="217"/>
      <c r="C257" s="218"/>
      <c r="D257" s="219"/>
      <c r="E257" s="220"/>
      <c r="F257" s="221"/>
      <c r="G257" s="222"/>
    </row>
    <row r="258" spans="1:7" s="112" customFormat="1">
      <c r="A258" s="216"/>
      <c r="B258" s="217"/>
      <c r="C258" s="218"/>
      <c r="D258" s="219"/>
      <c r="E258" s="220"/>
      <c r="F258" s="221"/>
      <c r="G258" s="222"/>
    </row>
    <row r="259" spans="1:7" s="112" customFormat="1">
      <c r="A259" s="216"/>
      <c r="B259" s="217"/>
      <c r="C259" s="218"/>
      <c r="D259" s="219"/>
      <c r="E259" s="220"/>
      <c r="F259" s="221"/>
      <c r="G259" s="222"/>
    </row>
    <row r="260" spans="1:7" s="112" customFormat="1">
      <c r="A260" s="216"/>
      <c r="B260" s="217"/>
      <c r="C260" s="218"/>
      <c r="D260" s="219"/>
      <c r="E260" s="220"/>
      <c r="F260" s="221"/>
      <c r="G260" s="222"/>
    </row>
    <row r="261" spans="1:7" s="112" customFormat="1">
      <c r="A261" s="216"/>
      <c r="B261" s="217"/>
      <c r="C261" s="218"/>
      <c r="D261" s="219"/>
      <c r="E261" s="220"/>
      <c r="F261" s="221"/>
      <c r="G261" s="222"/>
    </row>
    <row r="262" spans="1:7" s="112" customFormat="1">
      <c r="A262" s="216"/>
      <c r="B262" s="217"/>
      <c r="C262" s="218"/>
      <c r="D262" s="219"/>
      <c r="E262" s="220"/>
      <c r="F262" s="221"/>
      <c r="G262" s="222"/>
    </row>
    <row r="263" spans="1:7" s="112" customFormat="1">
      <c r="A263" s="216"/>
      <c r="B263" s="217"/>
      <c r="C263" s="218"/>
      <c r="D263" s="219"/>
      <c r="E263" s="220"/>
      <c r="F263" s="221"/>
      <c r="G263" s="222"/>
    </row>
    <row r="264" spans="1:7" s="112" customFormat="1">
      <c r="A264" s="216"/>
      <c r="B264" s="217"/>
      <c r="C264" s="218"/>
      <c r="D264" s="219"/>
      <c r="E264" s="220"/>
      <c r="F264" s="221"/>
      <c r="G264" s="222"/>
    </row>
    <row r="265" spans="1:7" s="112" customFormat="1">
      <c r="A265" s="216"/>
      <c r="B265" s="217"/>
      <c r="C265" s="218"/>
      <c r="D265" s="219"/>
      <c r="E265" s="220"/>
      <c r="F265" s="221"/>
      <c r="G265" s="222"/>
    </row>
    <row r="266" spans="1:7" s="112" customFormat="1">
      <c r="A266" s="216"/>
      <c r="B266" s="217"/>
      <c r="C266" s="218"/>
      <c r="D266" s="219"/>
      <c r="E266" s="220"/>
      <c r="F266" s="221"/>
      <c r="G266" s="222"/>
    </row>
    <row r="267" spans="1:7" s="112" customFormat="1">
      <c r="A267" s="216"/>
      <c r="B267" s="217"/>
      <c r="C267" s="218"/>
      <c r="D267" s="219"/>
      <c r="E267" s="220"/>
      <c r="F267" s="221"/>
      <c r="G267" s="222"/>
    </row>
    <row r="268" spans="1:7" s="112" customFormat="1">
      <c r="A268" s="216"/>
      <c r="B268" s="217"/>
      <c r="C268" s="218"/>
      <c r="D268" s="219"/>
      <c r="E268" s="220"/>
      <c r="F268" s="221"/>
      <c r="G268" s="222"/>
    </row>
    <row r="269" spans="1:7" s="112" customFormat="1">
      <c r="A269" s="216"/>
      <c r="B269" s="217"/>
      <c r="C269" s="218"/>
      <c r="D269" s="219"/>
      <c r="E269" s="220"/>
      <c r="F269" s="221"/>
      <c r="G269" s="222"/>
    </row>
    <row r="270" spans="1:7" s="112" customFormat="1">
      <c r="A270" s="216"/>
      <c r="B270" s="217"/>
      <c r="C270" s="218"/>
      <c r="D270" s="219"/>
      <c r="E270" s="220"/>
      <c r="F270" s="221"/>
      <c r="G270" s="222"/>
    </row>
    <row r="271" spans="1:7" s="112" customFormat="1">
      <c r="A271" s="216"/>
      <c r="B271" s="217"/>
      <c r="C271" s="218"/>
      <c r="D271" s="219"/>
      <c r="E271" s="220"/>
      <c r="F271" s="221"/>
      <c r="G271" s="222"/>
    </row>
    <row r="272" spans="1:7" s="112" customFormat="1">
      <c r="A272" s="216"/>
      <c r="B272" s="217"/>
      <c r="C272" s="218"/>
      <c r="D272" s="219"/>
      <c r="E272" s="220"/>
      <c r="F272" s="221"/>
      <c r="G272" s="222"/>
    </row>
    <row r="273" spans="1:7" s="112" customFormat="1">
      <c r="A273" s="216"/>
      <c r="B273" s="217"/>
      <c r="C273" s="218"/>
      <c r="D273" s="219"/>
      <c r="E273" s="220"/>
      <c r="F273" s="221"/>
      <c r="G273" s="222"/>
    </row>
    <row r="274" spans="1:7" s="112" customFormat="1">
      <c r="A274" s="216"/>
      <c r="B274" s="217"/>
      <c r="C274" s="218"/>
      <c r="D274" s="219"/>
      <c r="E274" s="220"/>
      <c r="F274" s="221"/>
      <c r="G274" s="222"/>
    </row>
    <row r="275" spans="1:7" s="112" customFormat="1">
      <c r="A275" s="216"/>
      <c r="B275" s="217"/>
      <c r="C275" s="218"/>
      <c r="D275" s="219"/>
      <c r="E275" s="220"/>
      <c r="F275" s="221"/>
      <c r="G275" s="222"/>
    </row>
    <row r="276" spans="1:7" s="112" customFormat="1">
      <c r="A276" s="216"/>
      <c r="B276" s="217"/>
      <c r="C276" s="218"/>
      <c r="D276" s="219"/>
      <c r="E276" s="220"/>
      <c r="F276" s="221"/>
      <c r="G276" s="222"/>
    </row>
    <row r="277" spans="1:7" s="112" customFormat="1">
      <c r="A277" s="216"/>
      <c r="B277" s="217"/>
      <c r="C277" s="218"/>
      <c r="D277" s="219"/>
      <c r="E277" s="220"/>
      <c r="F277" s="221"/>
      <c r="G277" s="222"/>
    </row>
    <row r="278" spans="1:7" s="112" customFormat="1">
      <c r="A278" s="216"/>
      <c r="B278" s="217"/>
      <c r="C278" s="218"/>
      <c r="D278" s="219"/>
      <c r="E278" s="220"/>
      <c r="F278" s="221"/>
      <c r="G278" s="222"/>
    </row>
    <row r="279" spans="1:7" s="112" customFormat="1">
      <c r="A279" s="216"/>
      <c r="B279" s="217"/>
      <c r="C279" s="218"/>
      <c r="D279" s="219"/>
      <c r="E279" s="220"/>
      <c r="F279" s="221"/>
      <c r="G279" s="222"/>
    </row>
    <row r="280" spans="1:7" s="112" customFormat="1">
      <c r="A280" s="216"/>
      <c r="B280" s="217"/>
      <c r="C280" s="218"/>
      <c r="D280" s="219"/>
      <c r="E280" s="220"/>
      <c r="F280" s="221"/>
      <c r="G280" s="222"/>
    </row>
    <row r="281" spans="1:7" s="112" customFormat="1">
      <c r="A281" s="216"/>
      <c r="B281" s="217"/>
      <c r="C281" s="218"/>
      <c r="D281" s="219"/>
      <c r="E281" s="220"/>
      <c r="F281" s="221"/>
      <c r="G281" s="222"/>
    </row>
    <row r="282" spans="1:7" s="112" customFormat="1">
      <c r="A282" s="216"/>
      <c r="B282" s="217"/>
      <c r="C282" s="218"/>
      <c r="D282" s="219"/>
      <c r="E282" s="220"/>
      <c r="F282" s="221"/>
      <c r="G282" s="222"/>
    </row>
    <row r="283" spans="1:7" s="112" customFormat="1">
      <c r="A283" s="216"/>
      <c r="B283" s="217"/>
      <c r="C283" s="218"/>
      <c r="D283" s="219"/>
      <c r="E283" s="220"/>
      <c r="F283" s="221"/>
      <c r="G283" s="222"/>
    </row>
    <row r="284" spans="1:7" s="112" customFormat="1">
      <c r="A284" s="216"/>
      <c r="B284" s="217"/>
      <c r="C284" s="218"/>
      <c r="D284" s="219"/>
      <c r="E284" s="220"/>
      <c r="F284" s="221"/>
      <c r="G284" s="222"/>
    </row>
    <row r="285" spans="1:7" s="112" customFormat="1">
      <c r="A285" s="216"/>
      <c r="B285" s="217"/>
      <c r="C285" s="218"/>
      <c r="D285" s="219"/>
      <c r="E285" s="220"/>
      <c r="F285" s="221"/>
      <c r="G285" s="222"/>
    </row>
    <row r="286" spans="1:7" s="112" customFormat="1">
      <c r="A286" s="216"/>
      <c r="B286" s="217"/>
      <c r="C286" s="218"/>
      <c r="D286" s="219"/>
      <c r="E286" s="220"/>
      <c r="F286" s="221"/>
      <c r="G286" s="222"/>
    </row>
    <row r="287" spans="1:7" s="112" customFormat="1">
      <c r="A287" s="216"/>
      <c r="B287" s="217"/>
      <c r="C287" s="218"/>
      <c r="D287" s="219"/>
      <c r="E287" s="220"/>
      <c r="F287" s="221"/>
      <c r="G287" s="222"/>
    </row>
    <row r="288" spans="1:7" s="112" customFormat="1">
      <c r="A288" s="216"/>
      <c r="B288" s="217"/>
      <c r="C288" s="218"/>
      <c r="D288" s="219"/>
      <c r="E288" s="220"/>
      <c r="F288" s="221"/>
      <c r="G288" s="222"/>
    </row>
    <row r="289" spans="1:7" s="112" customFormat="1">
      <c r="A289" s="216"/>
      <c r="B289" s="217"/>
      <c r="C289" s="218"/>
      <c r="D289" s="219"/>
      <c r="E289" s="220"/>
      <c r="F289" s="221"/>
      <c r="G289" s="222"/>
    </row>
    <row r="290" spans="1:7" s="112" customFormat="1">
      <c r="A290" s="216"/>
      <c r="B290" s="217"/>
      <c r="C290" s="218"/>
      <c r="D290" s="219"/>
      <c r="E290" s="220"/>
      <c r="F290" s="221"/>
      <c r="G290" s="222"/>
    </row>
    <row r="291" spans="1:7" s="112" customFormat="1">
      <c r="A291" s="216"/>
      <c r="B291" s="217"/>
      <c r="C291" s="218"/>
      <c r="D291" s="219"/>
      <c r="E291" s="220"/>
      <c r="F291" s="221"/>
      <c r="G291" s="222"/>
    </row>
    <row r="292" spans="1:7" s="112" customFormat="1">
      <c r="A292" s="216"/>
      <c r="B292" s="217"/>
      <c r="C292" s="218"/>
      <c r="D292" s="219"/>
      <c r="E292" s="220"/>
      <c r="F292" s="221"/>
      <c r="G292" s="222"/>
    </row>
    <row r="293" spans="1:7" s="112" customFormat="1">
      <c r="A293" s="216"/>
      <c r="B293" s="217"/>
      <c r="C293" s="218"/>
      <c r="D293" s="219"/>
      <c r="E293" s="220"/>
      <c r="F293" s="221"/>
      <c r="G293" s="222"/>
    </row>
    <row r="294" spans="1:7" s="112" customFormat="1">
      <c r="A294" s="216"/>
      <c r="B294" s="217"/>
      <c r="C294" s="218"/>
      <c r="D294" s="219"/>
      <c r="E294" s="220"/>
      <c r="F294" s="221"/>
      <c r="G294" s="222"/>
    </row>
    <row r="295" spans="1:7" s="112" customFormat="1">
      <c r="A295" s="216"/>
      <c r="B295" s="217"/>
      <c r="C295" s="218"/>
      <c r="D295" s="219"/>
      <c r="E295" s="220"/>
      <c r="F295" s="221"/>
      <c r="G295" s="222"/>
    </row>
    <row r="296" spans="1:7" s="112" customFormat="1">
      <c r="A296" s="216"/>
      <c r="B296" s="217"/>
      <c r="C296" s="218"/>
      <c r="D296" s="219"/>
      <c r="E296" s="220"/>
      <c r="F296" s="221"/>
      <c r="G296" s="222"/>
    </row>
    <row r="297" spans="1:7" s="112" customFormat="1">
      <c r="A297" s="216"/>
      <c r="B297" s="217"/>
      <c r="C297" s="218"/>
      <c r="D297" s="219"/>
      <c r="E297" s="220"/>
      <c r="F297" s="221"/>
      <c r="G297" s="222"/>
    </row>
    <row r="298" spans="1:7" s="112" customFormat="1">
      <c r="A298" s="216"/>
      <c r="B298" s="217"/>
      <c r="C298" s="218"/>
      <c r="D298" s="219"/>
      <c r="E298" s="220"/>
      <c r="F298" s="221"/>
      <c r="G298" s="222"/>
    </row>
    <row r="299" spans="1:7" s="112" customFormat="1">
      <c r="A299" s="216"/>
      <c r="B299" s="217"/>
      <c r="C299" s="218"/>
      <c r="D299" s="219"/>
      <c r="E299" s="220"/>
      <c r="F299" s="221"/>
      <c r="G299" s="222"/>
    </row>
    <row r="300" spans="1:7" s="112" customFormat="1">
      <c r="A300" s="216"/>
      <c r="B300" s="217"/>
      <c r="C300" s="218"/>
      <c r="D300" s="219"/>
      <c r="E300" s="220"/>
      <c r="F300" s="221"/>
      <c r="G300" s="222"/>
    </row>
    <row r="301" spans="1:7" s="112" customFormat="1">
      <c r="A301" s="216"/>
      <c r="B301" s="217"/>
      <c r="C301" s="218"/>
      <c r="D301" s="219"/>
      <c r="E301" s="220"/>
      <c r="F301" s="221"/>
      <c r="G301" s="222"/>
    </row>
    <row r="302" spans="1:7" s="112" customFormat="1">
      <c r="A302" s="216"/>
      <c r="B302" s="217"/>
      <c r="C302" s="218"/>
      <c r="D302" s="219"/>
      <c r="E302" s="220"/>
      <c r="F302" s="221"/>
      <c r="G302" s="222"/>
    </row>
    <row r="303" spans="1:7" s="112" customFormat="1">
      <c r="A303" s="216"/>
      <c r="B303" s="217"/>
      <c r="C303" s="218"/>
      <c r="D303" s="219"/>
      <c r="E303" s="220"/>
      <c r="F303" s="221"/>
      <c r="G303" s="222"/>
    </row>
    <row r="304" spans="1:7" s="112" customFormat="1">
      <c r="A304" s="216"/>
      <c r="B304" s="217"/>
      <c r="C304" s="218"/>
      <c r="D304" s="219"/>
      <c r="E304" s="220"/>
      <c r="F304" s="221"/>
      <c r="G304" s="222"/>
    </row>
    <row r="305" spans="1:7" s="112" customFormat="1">
      <c r="A305" s="216"/>
      <c r="B305" s="217"/>
      <c r="C305" s="218"/>
      <c r="D305" s="219"/>
      <c r="E305" s="220"/>
      <c r="F305" s="221"/>
      <c r="G305" s="222"/>
    </row>
    <row r="306" spans="1:7" s="112" customFormat="1">
      <c r="A306" s="216"/>
      <c r="B306" s="217"/>
      <c r="C306" s="218"/>
      <c r="D306" s="219"/>
      <c r="E306" s="220"/>
      <c r="F306" s="221"/>
      <c r="G306" s="222"/>
    </row>
    <row r="307" spans="1:7" s="112" customFormat="1">
      <c r="A307" s="216"/>
      <c r="B307" s="217"/>
      <c r="C307" s="218"/>
      <c r="D307" s="219"/>
      <c r="E307" s="220"/>
      <c r="F307" s="221"/>
      <c r="G307" s="222"/>
    </row>
    <row r="308" spans="1:7" s="112" customFormat="1">
      <c r="A308" s="216"/>
      <c r="B308" s="217"/>
      <c r="C308" s="218"/>
      <c r="D308" s="219"/>
      <c r="E308" s="220"/>
      <c r="F308" s="221"/>
      <c r="G308" s="222"/>
    </row>
    <row r="309" spans="1:7" s="112" customFormat="1">
      <c r="A309" s="216"/>
      <c r="B309" s="217"/>
      <c r="C309" s="218"/>
      <c r="D309" s="219"/>
      <c r="E309" s="220"/>
      <c r="F309" s="221"/>
      <c r="G309" s="222"/>
    </row>
    <row r="310" spans="1:7" s="112" customFormat="1">
      <c r="A310" s="216"/>
      <c r="B310" s="217"/>
      <c r="C310" s="218"/>
      <c r="D310" s="219"/>
      <c r="E310" s="220"/>
      <c r="F310" s="221"/>
      <c r="G310" s="222"/>
    </row>
    <row r="311" spans="1:7" s="112" customFormat="1">
      <c r="A311" s="216"/>
      <c r="B311" s="217"/>
      <c r="C311" s="218"/>
      <c r="D311" s="219"/>
      <c r="E311" s="220"/>
      <c r="F311" s="221"/>
      <c r="G311" s="222"/>
    </row>
    <row r="312" spans="1:7" s="112" customFormat="1">
      <c r="A312" s="216"/>
      <c r="B312" s="217"/>
      <c r="C312" s="218"/>
      <c r="D312" s="219"/>
      <c r="E312" s="220"/>
      <c r="F312" s="221"/>
      <c r="G312" s="222"/>
    </row>
    <row r="313" spans="1:7" s="112" customFormat="1">
      <c r="A313" s="216"/>
      <c r="B313" s="217"/>
      <c r="C313" s="218"/>
      <c r="D313" s="219"/>
      <c r="E313" s="220"/>
      <c r="F313" s="221"/>
      <c r="G313" s="222"/>
    </row>
    <row r="314" spans="1:7" s="112" customFormat="1">
      <c r="A314" s="216"/>
      <c r="B314" s="217"/>
      <c r="C314" s="218"/>
      <c r="D314" s="219"/>
      <c r="E314" s="220"/>
      <c r="F314" s="221"/>
      <c r="G314" s="222"/>
    </row>
    <row r="315" spans="1:7" s="112" customFormat="1">
      <c r="A315" s="216"/>
      <c r="B315" s="217"/>
      <c r="C315" s="218"/>
      <c r="D315" s="219"/>
      <c r="E315" s="220"/>
      <c r="F315" s="221"/>
      <c r="G315" s="222"/>
    </row>
    <row r="316" spans="1:7" s="112" customFormat="1">
      <c r="A316" s="216"/>
      <c r="B316" s="217"/>
      <c r="C316" s="218"/>
      <c r="D316" s="219"/>
      <c r="E316" s="220"/>
      <c r="F316" s="221"/>
      <c r="G316" s="222"/>
    </row>
    <row r="317" spans="1:7" s="112" customFormat="1">
      <c r="A317" s="216"/>
      <c r="B317" s="217"/>
      <c r="C317" s="218"/>
      <c r="D317" s="219"/>
      <c r="E317" s="220"/>
      <c r="F317" s="221"/>
      <c r="G317" s="222"/>
    </row>
    <row r="318" spans="1:7" s="112" customFormat="1">
      <c r="A318" s="216"/>
      <c r="B318" s="217"/>
      <c r="C318" s="218"/>
      <c r="D318" s="219"/>
      <c r="E318" s="220"/>
      <c r="F318" s="221"/>
      <c r="G318" s="222"/>
    </row>
    <row r="319" spans="1:7" s="112" customFormat="1">
      <c r="A319" s="216"/>
      <c r="B319" s="217"/>
      <c r="C319" s="218"/>
      <c r="D319" s="219"/>
      <c r="E319" s="220"/>
      <c r="F319" s="221"/>
      <c r="G319" s="222"/>
    </row>
    <row r="320" spans="1:7" s="112" customFormat="1">
      <c r="A320" s="216"/>
      <c r="B320" s="217"/>
      <c r="C320" s="218"/>
      <c r="D320" s="219"/>
      <c r="E320" s="220"/>
      <c r="F320" s="221"/>
      <c r="G320" s="222"/>
    </row>
    <row r="321" spans="1:7" s="112" customFormat="1">
      <c r="A321" s="216"/>
      <c r="B321" s="217"/>
      <c r="C321" s="218"/>
      <c r="D321" s="219"/>
      <c r="E321" s="220"/>
      <c r="F321" s="221"/>
      <c r="G321" s="222"/>
    </row>
    <row r="322" spans="1:7" s="112" customFormat="1">
      <c r="A322" s="216"/>
      <c r="B322" s="217"/>
      <c r="C322" s="218"/>
      <c r="D322" s="219"/>
      <c r="E322" s="220"/>
      <c r="F322" s="221"/>
      <c r="G322" s="222"/>
    </row>
    <row r="323" spans="1:7" s="112" customFormat="1">
      <c r="A323" s="216"/>
      <c r="B323" s="217"/>
      <c r="C323" s="218"/>
      <c r="D323" s="219"/>
      <c r="E323" s="220"/>
      <c r="F323" s="221"/>
      <c r="G323" s="222"/>
    </row>
    <row r="324" spans="1:7" s="112" customFormat="1">
      <c r="A324" s="216"/>
      <c r="B324" s="217"/>
      <c r="C324" s="218"/>
      <c r="D324" s="219"/>
      <c r="E324" s="220"/>
      <c r="F324" s="221"/>
      <c r="G324" s="222"/>
    </row>
    <row r="325" spans="1:7" s="112" customFormat="1">
      <c r="A325" s="216"/>
      <c r="B325" s="217"/>
      <c r="C325" s="218"/>
      <c r="D325" s="219"/>
      <c r="E325" s="220"/>
      <c r="F325" s="221"/>
      <c r="G325" s="222"/>
    </row>
    <row r="326" spans="1:7" s="112" customFormat="1">
      <c r="A326" s="216"/>
      <c r="B326" s="217"/>
      <c r="C326" s="218"/>
      <c r="D326" s="219"/>
      <c r="E326" s="220"/>
      <c r="F326" s="221"/>
      <c r="G326" s="222"/>
    </row>
    <row r="327" spans="1:7" s="112" customFormat="1">
      <c r="A327" s="216"/>
      <c r="B327" s="217"/>
      <c r="C327" s="218"/>
      <c r="D327" s="219"/>
      <c r="E327" s="220"/>
      <c r="F327" s="221"/>
      <c r="G327" s="222"/>
    </row>
    <row r="328" spans="1:7" s="112" customFormat="1">
      <c r="A328" s="216"/>
      <c r="B328" s="217"/>
      <c r="C328" s="218"/>
      <c r="D328" s="219"/>
      <c r="E328" s="220"/>
      <c r="F328" s="221"/>
      <c r="G328" s="222"/>
    </row>
    <row r="329" spans="1:7" s="112" customFormat="1">
      <c r="A329" s="216"/>
      <c r="B329" s="217"/>
      <c r="C329" s="218"/>
      <c r="D329" s="219"/>
      <c r="E329" s="220"/>
      <c r="F329" s="221"/>
      <c r="G329" s="222"/>
    </row>
    <row r="330" spans="1:7" s="112" customFormat="1">
      <c r="A330" s="216"/>
      <c r="B330" s="217"/>
      <c r="C330" s="218"/>
      <c r="D330" s="219"/>
      <c r="E330" s="220"/>
      <c r="F330" s="221"/>
      <c r="G330" s="222"/>
    </row>
    <row r="331" spans="1:7" s="112" customFormat="1">
      <c r="A331" s="216"/>
      <c r="B331" s="217"/>
      <c r="C331" s="218"/>
      <c r="D331" s="219"/>
      <c r="E331" s="220"/>
      <c r="F331" s="221"/>
      <c r="G331" s="222"/>
    </row>
    <row r="332" spans="1:7" s="112" customFormat="1">
      <c r="A332" s="216"/>
      <c r="B332" s="217"/>
      <c r="C332" s="218"/>
      <c r="D332" s="219"/>
      <c r="E332" s="220"/>
      <c r="F332" s="221"/>
      <c r="G332" s="222"/>
    </row>
    <row r="333" spans="1:7" s="112" customFormat="1">
      <c r="A333" s="216"/>
      <c r="B333" s="217"/>
      <c r="C333" s="218"/>
      <c r="D333" s="219"/>
      <c r="E333" s="220"/>
      <c r="F333" s="221"/>
      <c r="G333" s="222"/>
    </row>
    <row r="334" spans="1:7" s="112" customFormat="1">
      <c r="A334" s="216"/>
      <c r="B334" s="217"/>
      <c r="C334" s="218"/>
      <c r="D334" s="219"/>
      <c r="E334" s="220"/>
      <c r="F334" s="221"/>
      <c r="G334" s="222"/>
    </row>
    <row r="335" spans="1:7" s="112" customFormat="1">
      <c r="A335" s="216"/>
      <c r="B335" s="217"/>
      <c r="C335" s="218"/>
      <c r="D335" s="219"/>
      <c r="E335" s="220"/>
      <c r="F335" s="221"/>
      <c r="G335" s="222"/>
    </row>
    <row r="336" spans="1:7" s="112" customFormat="1">
      <c r="A336" s="216"/>
      <c r="B336" s="217"/>
      <c r="C336" s="218"/>
      <c r="D336" s="219"/>
      <c r="E336" s="220"/>
      <c r="F336" s="221"/>
      <c r="G336" s="222"/>
    </row>
    <row r="337" spans="1:7" s="112" customFormat="1">
      <c r="A337" s="216"/>
      <c r="B337" s="217"/>
      <c r="C337" s="218"/>
      <c r="D337" s="219"/>
      <c r="E337" s="220"/>
      <c r="F337" s="221"/>
      <c r="G337" s="222"/>
    </row>
    <row r="338" spans="1:7" s="112" customFormat="1">
      <c r="A338" s="216"/>
      <c r="B338" s="217"/>
      <c r="C338" s="218"/>
      <c r="D338" s="219"/>
      <c r="E338" s="220"/>
      <c r="F338" s="221"/>
      <c r="G338" s="222"/>
    </row>
    <row r="339" spans="1:7" s="112" customFormat="1">
      <c r="A339" s="216"/>
      <c r="B339" s="217"/>
      <c r="C339" s="218"/>
      <c r="D339" s="219"/>
      <c r="E339" s="220"/>
      <c r="F339" s="221"/>
      <c r="G339" s="222"/>
    </row>
    <row r="340" spans="1:7" s="112" customFormat="1">
      <c r="A340" s="216"/>
      <c r="B340" s="217"/>
      <c r="C340" s="218"/>
      <c r="D340" s="219"/>
      <c r="E340" s="220"/>
      <c r="F340" s="221"/>
      <c r="G340" s="222"/>
    </row>
    <row r="341" spans="1:7" s="112" customFormat="1">
      <c r="A341" s="216"/>
      <c r="B341" s="217"/>
      <c r="C341" s="218"/>
      <c r="D341" s="219"/>
      <c r="E341" s="220"/>
      <c r="F341" s="221"/>
      <c r="G341" s="222"/>
    </row>
    <row r="342" spans="1:7" s="112" customFormat="1">
      <c r="A342" s="216"/>
      <c r="B342" s="217"/>
      <c r="C342" s="218"/>
      <c r="D342" s="219"/>
      <c r="E342" s="220"/>
      <c r="F342" s="221"/>
      <c r="G342" s="222"/>
    </row>
    <row r="343" spans="1:7" s="112" customFormat="1">
      <c r="A343" s="216"/>
      <c r="B343" s="217"/>
      <c r="C343" s="218"/>
      <c r="D343" s="219"/>
      <c r="E343" s="220"/>
      <c r="F343" s="221"/>
      <c r="G343" s="222"/>
    </row>
    <row r="344" spans="1:7" s="112" customFormat="1">
      <c r="A344" s="216"/>
      <c r="B344" s="217"/>
      <c r="C344" s="218"/>
      <c r="D344" s="219"/>
      <c r="E344" s="220"/>
      <c r="F344" s="221"/>
      <c r="G344" s="222"/>
    </row>
    <row r="345" spans="1:7" s="112" customFormat="1">
      <c r="A345" s="216"/>
      <c r="B345" s="217"/>
      <c r="C345" s="218"/>
      <c r="D345" s="219"/>
      <c r="E345" s="220"/>
      <c r="F345" s="221"/>
      <c r="G345" s="222"/>
    </row>
    <row r="346" spans="1:7" s="112" customFormat="1">
      <c r="A346" s="216"/>
      <c r="B346" s="217"/>
      <c r="C346" s="218"/>
      <c r="D346" s="219"/>
      <c r="E346" s="220"/>
      <c r="F346" s="221"/>
      <c r="G346" s="222"/>
    </row>
    <row r="347" spans="1:7" s="112" customFormat="1">
      <c r="A347" s="216"/>
      <c r="B347" s="217"/>
      <c r="C347" s="218"/>
      <c r="D347" s="219"/>
      <c r="E347" s="220"/>
      <c r="F347" s="221"/>
      <c r="G347" s="222"/>
    </row>
    <row r="348" spans="1:7" s="112" customFormat="1">
      <c r="A348" s="216"/>
      <c r="B348" s="217"/>
      <c r="C348" s="218"/>
      <c r="D348" s="219"/>
      <c r="E348" s="220"/>
      <c r="F348" s="221"/>
      <c r="G348" s="222"/>
    </row>
    <row r="349" spans="1:7" s="112" customFormat="1">
      <c r="A349" s="216"/>
      <c r="B349" s="217"/>
      <c r="C349" s="218"/>
      <c r="D349" s="219"/>
      <c r="E349" s="220"/>
      <c r="F349" s="221"/>
      <c r="G349" s="222"/>
    </row>
    <row r="350" spans="1:7" s="112" customFormat="1">
      <c r="A350" s="216"/>
      <c r="B350" s="217"/>
      <c r="C350" s="218"/>
      <c r="D350" s="219"/>
      <c r="E350" s="220"/>
      <c r="F350" s="221"/>
      <c r="G350" s="222"/>
    </row>
    <row r="351" spans="1:7" s="112" customFormat="1">
      <c r="A351" s="216"/>
      <c r="B351" s="217"/>
      <c r="C351" s="218"/>
      <c r="D351" s="219"/>
      <c r="E351" s="220"/>
      <c r="F351" s="221"/>
      <c r="G351" s="222"/>
    </row>
    <row r="352" spans="1:7" s="112" customFormat="1">
      <c r="A352" s="216"/>
      <c r="B352" s="217"/>
      <c r="C352" s="218"/>
      <c r="D352" s="219"/>
      <c r="E352" s="220"/>
      <c r="F352" s="221"/>
      <c r="G352" s="222"/>
    </row>
    <row r="353" spans="1:7" s="112" customFormat="1">
      <c r="A353" s="216"/>
      <c r="B353" s="217"/>
      <c r="C353" s="218"/>
      <c r="D353" s="219"/>
      <c r="E353" s="220"/>
      <c r="F353" s="221"/>
      <c r="G353" s="222"/>
    </row>
    <row r="354" spans="1:7" s="112" customFormat="1">
      <c r="A354" s="216"/>
      <c r="B354" s="217"/>
      <c r="C354" s="218"/>
      <c r="D354" s="219"/>
      <c r="E354" s="220"/>
      <c r="F354" s="221"/>
      <c r="G354" s="222"/>
    </row>
    <row r="355" spans="1:7" s="112" customFormat="1">
      <c r="A355" s="216"/>
      <c r="B355" s="217"/>
      <c r="C355" s="218"/>
      <c r="D355" s="219"/>
      <c r="E355" s="220"/>
      <c r="F355" s="221"/>
      <c r="G355" s="222"/>
    </row>
    <row r="356" spans="1:7" s="112" customFormat="1">
      <c r="A356" s="216"/>
      <c r="B356" s="217"/>
      <c r="C356" s="218"/>
      <c r="D356" s="219"/>
      <c r="E356" s="220"/>
      <c r="F356" s="221"/>
      <c r="G356" s="222"/>
    </row>
    <row r="357" spans="1:7" s="112" customFormat="1">
      <c r="A357" s="216"/>
      <c r="B357" s="217"/>
      <c r="C357" s="218"/>
      <c r="D357" s="219"/>
      <c r="E357" s="220"/>
      <c r="F357" s="221"/>
      <c r="G357" s="222"/>
    </row>
    <row r="358" spans="1:7" s="112" customFormat="1">
      <c r="A358" s="216"/>
      <c r="B358" s="217"/>
      <c r="C358" s="218"/>
      <c r="D358" s="219"/>
      <c r="E358" s="220"/>
      <c r="F358" s="221"/>
      <c r="G358" s="222"/>
    </row>
    <row r="359" spans="1:7" s="112" customFormat="1">
      <c r="A359" s="216"/>
      <c r="B359" s="217"/>
      <c r="C359" s="218"/>
      <c r="D359" s="219"/>
      <c r="E359" s="220"/>
      <c r="F359" s="221"/>
      <c r="G359" s="222"/>
    </row>
    <row r="360" spans="1:7" s="112" customFormat="1">
      <c r="A360" s="216"/>
      <c r="B360" s="217"/>
      <c r="C360" s="218"/>
      <c r="D360" s="219"/>
      <c r="E360" s="220"/>
      <c r="F360" s="221"/>
      <c r="G360" s="222"/>
    </row>
    <row r="361" spans="1:7" s="112" customFormat="1">
      <c r="A361" s="216"/>
      <c r="B361" s="217"/>
      <c r="C361" s="218"/>
      <c r="D361" s="219"/>
      <c r="E361" s="220"/>
      <c r="F361" s="221"/>
      <c r="G361" s="222"/>
    </row>
    <row r="362" spans="1:7" s="112" customFormat="1">
      <c r="A362" s="216"/>
      <c r="B362" s="217"/>
      <c r="C362" s="218"/>
      <c r="D362" s="219"/>
      <c r="E362" s="220"/>
      <c r="F362" s="221"/>
      <c r="G362" s="222"/>
    </row>
    <row r="363" spans="1:7" s="112" customFormat="1">
      <c r="A363" s="216"/>
      <c r="B363" s="217"/>
      <c r="C363" s="218"/>
      <c r="D363" s="219"/>
      <c r="E363" s="220"/>
      <c r="F363" s="221"/>
      <c r="G363" s="222"/>
    </row>
    <row r="364" spans="1:7" s="112" customFormat="1">
      <c r="A364" s="216"/>
      <c r="B364" s="217"/>
      <c r="C364" s="218"/>
      <c r="D364" s="219"/>
      <c r="E364" s="220"/>
      <c r="F364" s="221"/>
      <c r="G364" s="222"/>
    </row>
    <row r="365" spans="1:7" s="112" customFormat="1">
      <c r="A365" s="216"/>
      <c r="B365" s="217"/>
      <c r="C365" s="218"/>
      <c r="D365" s="219"/>
      <c r="E365" s="220"/>
      <c r="F365" s="221"/>
      <c r="G365" s="222"/>
    </row>
    <row r="366" spans="1:7" s="112" customFormat="1">
      <c r="A366" s="216"/>
      <c r="B366" s="217"/>
      <c r="C366" s="218"/>
      <c r="D366" s="219"/>
      <c r="E366" s="220"/>
      <c r="F366" s="221"/>
      <c r="G366" s="222"/>
    </row>
    <row r="367" spans="1:7" s="112" customFormat="1">
      <c r="A367" s="216"/>
      <c r="B367" s="217"/>
      <c r="C367" s="218"/>
      <c r="D367" s="219"/>
      <c r="E367" s="220"/>
      <c r="F367" s="221"/>
      <c r="G367" s="222"/>
    </row>
    <row r="368" spans="1:7" s="112" customFormat="1">
      <c r="A368" s="216"/>
      <c r="B368" s="217"/>
      <c r="C368" s="218"/>
      <c r="D368" s="219"/>
      <c r="E368" s="220"/>
      <c r="F368" s="221"/>
      <c r="G368" s="222"/>
    </row>
    <row r="369" spans="1:7" s="112" customFormat="1">
      <c r="A369" s="216"/>
      <c r="B369" s="217"/>
      <c r="C369" s="218"/>
      <c r="D369" s="219"/>
      <c r="E369" s="220"/>
      <c r="F369" s="221"/>
      <c r="G369" s="222"/>
    </row>
    <row r="370" spans="1:7" s="112" customFormat="1">
      <c r="A370" s="216"/>
      <c r="B370" s="217"/>
      <c r="C370" s="218"/>
      <c r="D370" s="219"/>
      <c r="E370" s="220"/>
      <c r="F370" s="221"/>
      <c r="G370" s="222"/>
    </row>
    <row r="371" spans="1:7" s="112" customFormat="1">
      <c r="A371" s="216"/>
      <c r="B371" s="217"/>
      <c r="C371" s="218"/>
      <c r="D371" s="219"/>
      <c r="E371" s="220"/>
      <c r="F371" s="221"/>
      <c r="G371" s="222"/>
    </row>
    <row r="372" spans="1:7" s="112" customFormat="1">
      <c r="A372" s="216"/>
      <c r="B372" s="217"/>
      <c r="C372" s="218"/>
      <c r="D372" s="219"/>
      <c r="E372" s="220"/>
      <c r="F372" s="221"/>
      <c r="G372" s="222"/>
    </row>
    <row r="373" spans="1:7" s="112" customFormat="1">
      <c r="A373" s="216"/>
      <c r="B373" s="217"/>
      <c r="C373" s="218"/>
      <c r="D373" s="219"/>
      <c r="E373" s="220"/>
      <c r="F373" s="221"/>
      <c r="G373" s="222"/>
    </row>
    <row r="374" spans="1:7" s="112" customFormat="1">
      <c r="A374" s="216"/>
      <c r="B374" s="217"/>
      <c r="C374" s="218"/>
      <c r="D374" s="219"/>
      <c r="E374" s="220"/>
      <c r="F374" s="221"/>
      <c r="G374" s="222"/>
    </row>
    <row r="375" spans="1:7" s="112" customFormat="1">
      <c r="A375" s="216"/>
      <c r="B375" s="217"/>
      <c r="C375" s="218"/>
      <c r="D375" s="219"/>
      <c r="E375" s="220"/>
      <c r="F375" s="221"/>
      <c r="G375" s="222"/>
    </row>
    <row r="376" spans="1:7" s="112" customFormat="1">
      <c r="A376" s="216"/>
      <c r="B376" s="217"/>
      <c r="C376" s="218"/>
      <c r="D376" s="219"/>
      <c r="E376" s="220"/>
      <c r="F376" s="221"/>
      <c r="G376" s="222"/>
    </row>
    <row r="377" spans="1:7" s="112" customFormat="1">
      <c r="A377" s="216"/>
      <c r="B377" s="217"/>
      <c r="C377" s="218"/>
      <c r="D377" s="219"/>
      <c r="E377" s="220"/>
      <c r="F377" s="221"/>
      <c r="G377" s="222"/>
    </row>
    <row r="378" spans="1:7" s="112" customFormat="1">
      <c r="A378" s="216"/>
      <c r="B378" s="217"/>
      <c r="C378" s="218"/>
      <c r="D378" s="219"/>
      <c r="E378" s="220"/>
      <c r="F378" s="221"/>
      <c r="G378" s="222"/>
    </row>
    <row r="379" spans="1:7" s="112" customFormat="1">
      <c r="A379" s="216"/>
      <c r="B379" s="217"/>
      <c r="C379" s="218"/>
      <c r="D379" s="219"/>
      <c r="E379" s="220"/>
      <c r="F379" s="221"/>
      <c r="G379" s="222"/>
    </row>
    <row r="380" spans="1:7" s="112" customFormat="1">
      <c r="A380" s="216"/>
      <c r="B380" s="217"/>
      <c r="C380" s="218"/>
      <c r="D380" s="219"/>
      <c r="E380" s="220"/>
      <c r="F380" s="221"/>
      <c r="G380" s="222"/>
    </row>
    <row r="381" spans="1:7" s="112" customFormat="1">
      <c r="A381" s="216"/>
      <c r="B381" s="217"/>
      <c r="C381" s="218"/>
      <c r="D381" s="219"/>
      <c r="E381" s="220"/>
      <c r="F381" s="221"/>
      <c r="G381" s="222"/>
    </row>
    <row r="382" spans="1:7" s="112" customFormat="1">
      <c r="A382" s="216"/>
      <c r="B382" s="217"/>
      <c r="C382" s="218"/>
      <c r="D382" s="219"/>
      <c r="E382" s="220"/>
      <c r="F382" s="221"/>
      <c r="G382" s="222"/>
    </row>
    <row r="383" spans="1:7" s="112" customFormat="1">
      <c r="A383" s="216"/>
      <c r="B383" s="217"/>
      <c r="C383" s="218"/>
      <c r="D383" s="219"/>
      <c r="E383" s="220"/>
      <c r="F383" s="221"/>
      <c r="G383" s="222"/>
    </row>
    <row r="384" spans="1:7" s="112" customFormat="1">
      <c r="A384" s="216"/>
      <c r="B384" s="217"/>
      <c r="C384" s="218"/>
      <c r="D384" s="219"/>
      <c r="E384" s="220"/>
      <c r="F384" s="221"/>
      <c r="G384" s="222"/>
    </row>
    <row r="385" spans="1:7" s="112" customFormat="1">
      <c r="A385" s="216"/>
      <c r="B385" s="217"/>
      <c r="C385" s="218"/>
      <c r="D385" s="219"/>
      <c r="E385" s="220"/>
      <c r="F385" s="221"/>
      <c r="G385" s="222"/>
    </row>
    <row r="386" spans="1:7" s="112" customFormat="1">
      <c r="A386" s="216"/>
      <c r="B386" s="217"/>
      <c r="C386" s="218"/>
      <c r="D386" s="219"/>
      <c r="E386" s="220"/>
      <c r="F386" s="221"/>
      <c r="G386" s="222"/>
    </row>
    <row r="387" spans="1:7" s="112" customFormat="1">
      <c r="A387" s="216"/>
      <c r="B387" s="217"/>
      <c r="C387" s="218"/>
      <c r="D387" s="219"/>
      <c r="E387" s="220"/>
      <c r="F387" s="221"/>
      <c r="G387" s="222"/>
    </row>
    <row r="388" spans="1:7" s="112" customFormat="1">
      <c r="A388" s="216"/>
      <c r="B388" s="217"/>
      <c r="C388" s="218"/>
      <c r="D388" s="219"/>
      <c r="E388" s="220"/>
      <c r="F388" s="221"/>
      <c r="G388" s="222"/>
    </row>
    <row r="389" spans="1:7" s="112" customFormat="1">
      <c r="A389" s="216"/>
      <c r="B389" s="217"/>
      <c r="C389" s="218"/>
      <c r="D389" s="219"/>
      <c r="E389" s="220"/>
      <c r="F389" s="221"/>
      <c r="G389" s="222"/>
    </row>
    <row r="390" spans="1:7" s="112" customFormat="1">
      <c r="A390" s="216"/>
      <c r="B390" s="217"/>
      <c r="C390" s="218"/>
      <c r="D390" s="219"/>
      <c r="E390" s="220"/>
      <c r="F390" s="221"/>
      <c r="G390" s="222"/>
    </row>
    <row r="391" spans="1:7" s="112" customFormat="1">
      <c r="A391" s="216"/>
      <c r="B391" s="217"/>
      <c r="C391" s="218"/>
      <c r="D391" s="219"/>
      <c r="E391" s="220"/>
      <c r="F391" s="221"/>
      <c r="G391" s="222"/>
    </row>
    <row r="392" spans="1:7" s="112" customFormat="1">
      <c r="A392" s="216"/>
      <c r="B392" s="217"/>
      <c r="C392" s="218"/>
      <c r="D392" s="219"/>
      <c r="E392" s="220"/>
      <c r="F392" s="221"/>
      <c r="G392" s="222"/>
    </row>
    <row r="393" spans="1:7" s="112" customFormat="1">
      <c r="A393" s="216"/>
      <c r="B393" s="217"/>
      <c r="C393" s="218"/>
      <c r="D393" s="219"/>
      <c r="E393" s="220"/>
      <c r="F393" s="221"/>
      <c r="G393" s="222"/>
    </row>
    <row r="394" spans="1:7" s="112" customFormat="1">
      <c r="A394" s="216"/>
      <c r="B394" s="217"/>
      <c r="C394" s="218"/>
      <c r="D394" s="219"/>
      <c r="E394" s="220"/>
      <c r="F394" s="221"/>
      <c r="G394" s="222"/>
    </row>
    <row r="395" spans="1:7" s="112" customFormat="1">
      <c r="A395" s="216"/>
      <c r="B395" s="217"/>
      <c r="C395" s="218"/>
      <c r="D395" s="219"/>
      <c r="E395" s="220"/>
      <c r="F395" s="221"/>
      <c r="G395" s="222"/>
    </row>
    <row r="396" spans="1:7" s="112" customFormat="1">
      <c r="A396" s="216"/>
      <c r="B396" s="217"/>
      <c r="C396" s="218"/>
      <c r="D396" s="219"/>
      <c r="E396" s="220"/>
      <c r="F396" s="221"/>
      <c r="G396" s="222"/>
    </row>
    <row r="397" spans="1:7" s="112" customFormat="1">
      <c r="A397" s="216"/>
      <c r="B397" s="217"/>
      <c r="C397" s="218"/>
      <c r="D397" s="219"/>
      <c r="E397" s="220"/>
      <c r="F397" s="221"/>
      <c r="G397" s="222"/>
    </row>
    <row r="398" spans="1:7" s="112" customFormat="1">
      <c r="A398" s="216"/>
      <c r="B398" s="217"/>
      <c r="C398" s="218"/>
      <c r="D398" s="219"/>
      <c r="E398" s="220"/>
      <c r="F398" s="221"/>
      <c r="G398" s="222"/>
    </row>
    <row r="399" spans="1:7" s="112" customFormat="1">
      <c r="A399" s="216"/>
      <c r="B399" s="217"/>
      <c r="C399" s="218"/>
      <c r="D399" s="219"/>
      <c r="E399" s="220"/>
      <c r="F399" s="221"/>
      <c r="G399" s="222"/>
    </row>
    <row r="400" spans="1:7" s="112" customFormat="1">
      <c r="A400" s="216"/>
      <c r="B400" s="217"/>
      <c r="C400" s="218"/>
      <c r="D400" s="219"/>
      <c r="E400" s="220"/>
      <c r="F400" s="221"/>
      <c r="G400" s="222"/>
    </row>
    <row r="401" spans="1:7" s="112" customFormat="1">
      <c r="A401" s="216"/>
      <c r="B401" s="217"/>
      <c r="C401" s="218"/>
      <c r="D401" s="219"/>
      <c r="E401" s="220"/>
      <c r="F401" s="221"/>
      <c r="G401" s="222"/>
    </row>
    <row r="402" spans="1:7" s="112" customFormat="1">
      <c r="A402" s="216"/>
      <c r="B402" s="217"/>
      <c r="C402" s="218"/>
      <c r="D402" s="219"/>
      <c r="E402" s="220"/>
      <c r="F402" s="221"/>
      <c r="G402" s="222"/>
    </row>
    <row r="403" spans="1:7" s="112" customFormat="1">
      <c r="A403" s="216"/>
      <c r="B403" s="217"/>
      <c r="C403" s="218"/>
      <c r="D403" s="219"/>
      <c r="E403" s="220"/>
      <c r="F403" s="221"/>
      <c r="G403" s="222"/>
    </row>
    <row r="404" spans="1:7" s="112" customFormat="1">
      <c r="A404" s="216"/>
      <c r="B404" s="217"/>
      <c r="C404" s="218"/>
      <c r="D404" s="219"/>
      <c r="E404" s="220"/>
      <c r="F404" s="221"/>
      <c r="G404" s="222"/>
    </row>
    <row r="405" spans="1:7" s="112" customFormat="1">
      <c r="A405" s="216"/>
      <c r="B405" s="217"/>
      <c r="C405" s="218"/>
      <c r="D405" s="219"/>
      <c r="E405" s="220"/>
      <c r="F405" s="221"/>
      <c r="G405" s="222"/>
    </row>
    <row r="406" spans="1:7" s="112" customFormat="1">
      <c r="A406" s="216"/>
      <c r="B406" s="217"/>
      <c r="C406" s="218"/>
      <c r="D406" s="219"/>
      <c r="E406" s="220"/>
      <c r="F406" s="221"/>
      <c r="G406" s="222"/>
    </row>
    <row r="407" spans="1:7" s="112" customFormat="1">
      <c r="A407" s="216"/>
      <c r="B407" s="217"/>
      <c r="C407" s="218"/>
      <c r="D407" s="219"/>
      <c r="E407" s="220"/>
      <c r="F407" s="221"/>
      <c r="G407" s="222"/>
    </row>
    <row r="408" spans="1:7" s="112" customFormat="1">
      <c r="A408" s="216"/>
      <c r="B408" s="217"/>
      <c r="C408" s="218"/>
      <c r="D408" s="219"/>
      <c r="E408" s="220"/>
      <c r="F408" s="221"/>
      <c r="G408" s="222"/>
    </row>
    <row r="409" spans="1:7" s="112" customFormat="1">
      <c r="A409" s="216"/>
      <c r="B409" s="217"/>
      <c r="C409" s="218"/>
      <c r="D409" s="219"/>
      <c r="E409" s="220"/>
      <c r="F409" s="221"/>
      <c r="G409" s="222"/>
    </row>
    <row r="410" spans="1:7" s="112" customFormat="1">
      <c r="A410" s="216"/>
      <c r="B410" s="217"/>
      <c r="C410" s="218"/>
      <c r="D410" s="219"/>
      <c r="E410" s="220"/>
      <c r="F410" s="221"/>
      <c r="G410" s="222"/>
    </row>
    <row r="411" spans="1:7" s="112" customFormat="1">
      <c r="A411" s="216"/>
      <c r="B411" s="217"/>
      <c r="C411" s="218"/>
      <c r="D411" s="219"/>
      <c r="E411" s="220"/>
      <c r="F411" s="221"/>
      <c r="G411" s="222"/>
    </row>
    <row r="412" spans="1:7" s="112" customFormat="1">
      <c r="A412" s="216"/>
      <c r="B412" s="217"/>
      <c r="C412" s="218"/>
      <c r="D412" s="219"/>
      <c r="E412" s="220"/>
      <c r="F412" s="221"/>
      <c r="G412" s="222"/>
    </row>
    <row r="413" spans="1:7" s="112" customFormat="1">
      <c r="A413" s="216"/>
      <c r="B413" s="217"/>
      <c r="C413" s="218"/>
      <c r="D413" s="219"/>
      <c r="E413" s="220"/>
      <c r="F413" s="221"/>
      <c r="G413" s="222"/>
    </row>
    <row r="414" spans="1:7" s="112" customFormat="1">
      <c r="A414" s="216"/>
      <c r="B414" s="217"/>
      <c r="C414" s="218"/>
      <c r="D414" s="219"/>
      <c r="E414" s="220"/>
      <c r="F414" s="221"/>
      <c r="G414" s="222"/>
    </row>
    <row r="415" spans="1:7" s="112" customFormat="1">
      <c r="A415" s="216"/>
      <c r="B415" s="217"/>
      <c r="C415" s="218"/>
      <c r="D415" s="219"/>
      <c r="E415" s="220"/>
      <c r="F415" s="221"/>
      <c r="G415" s="222"/>
    </row>
    <row r="416" spans="1:7" s="112" customFormat="1">
      <c r="A416" s="216"/>
      <c r="B416" s="217"/>
      <c r="C416" s="218"/>
      <c r="D416" s="219"/>
      <c r="E416" s="220"/>
      <c r="F416" s="221"/>
      <c r="G416" s="222"/>
    </row>
    <row r="417" spans="1:7" s="112" customFormat="1">
      <c r="A417" s="216"/>
      <c r="B417" s="217"/>
      <c r="C417" s="218"/>
      <c r="D417" s="219"/>
      <c r="E417" s="220"/>
      <c r="F417" s="221"/>
      <c r="G417" s="222"/>
    </row>
    <row r="418" spans="1:7" s="112" customFormat="1">
      <c r="A418" s="216"/>
      <c r="B418" s="217"/>
      <c r="C418" s="218"/>
      <c r="D418" s="219"/>
      <c r="E418" s="220"/>
      <c r="F418" s="221"/>
      <c r="G418" s="222"/>
    </row>
    <row r="419" spans="1:7" s="112" customFormat="1">
      <c r="A419" s="216"/>
      <c r="B419" s="217"/>
      <c r="C419" s="218"/>
      <c r="D419" s="219"/>
      <c r="E419" s="220"/>
      <c r="F419" s="221"/>
      <c r="G419" s="222"/>
    </row>
    <row r="420" spans="1:7" s="112" customFormat="1">
      <c r="A420" s="216"/>
      <c r="B420" s="217"/>
      <c r="C420" s="218"/>
      <c r="D420" s="219"/>
      <c r="E420" s="220"/>
      <c r="F420" s="221"/>
      <c r="G420" s="222"/>
    </row>
    <row r="421" spans="1:7" s="112" customFormat="1">
      <c r="A421" s="216"/>
      <c r="B421" s="217"/>
      <c r="C421" s="218"/>
      <c r="D421" s="219"/>
      <c r="E421" s="220"/>
      <c r="F421" s="221"/>
      <c r="G421" s="222"/>
    </row>
    <row r="422" spans="1:7" s="112" customFormat="1">
      <c r="A422" s="216"/>
      <c r="B422" s="217"/>
      <c r="C422" s="218"/>
      <c r="D422" s="219"/>
      <c r="E422" s="220"/>
      <c r="F422" s="221"/>
      <c r="G422" s="222"/>
    </row>
    <row r="423" spans="1:7" s="112" customFormat="1">
      <c r="A423" s="216"/>
      <c r="B423" s="217"/>
      <c r="C423" s="218"/>
      <c r="D423" s="219"/>
      <c r="E423" s="220"/>
      <c r="F423" s="221"/>
      <c r="G423" s="222"/>
    </row>
    <row r="424" spans="1:7" s="112" customFormat="1">
      <c r="A424" s="216"/>
      <c r="B424" s="217"/>
      <c r="C424" s="218"/>
      <c r="D424" s="219"/>
      <c r="E424" s="220"/>
      <c r="F424" s="221"/>
      <c r="G424" s="222"/>
    </row>
    <row r="425" spans="1:7" s="112" customFormat="1">
      <c r="A425" s="216"/>
      <c r="B425" s="217"/>
      <c r="C425" s="218"/>
      <c r="D425" s="219"/>
      <c r="E425" s="220"/>
      <c r="F425" s="221"/>
      <c r="G425" s="222"/>
    </row>
    <row r="426" spans="1:7" s="112" customFormat="1">
      <c r="A426" s="216"/>
      <c r="B426" s="217"/>
      <c r="C426" s="218"/>
      <c r="D426" s="219"/>
      <c r="E426" s="220"/>
      <c r="F426" s="221"/>
      <c r="G426" s="222"/>
    </row>
    <row r="427" spans="1:7" s="112" customFormat="1">
      <c r="A427" s="216"/>
      <c r="B427" s="217"/>
      <c r="C427" s="218"/>
      <c r="D427" s="219"/>
      <c r="E427" s="220"/>
      <c r="F427" s="221"/>
      <c r="G427" s="222"/>
    </row>
    <row r="428" spans="1:7" s="112" customFormat="1">
      <c r="A428" s="216"/>
      <c r="B428" s="217"/>
      <c r="C428" s="218"/>
      <c r="D428" s="219"/>
      <c r="E428" s="220"/>
      <c r="F428" s="221"/>
      <c r="G428" s="222"/>
    </row>
    <row r="429" spans="1:7" s="112" customFormat="1">
      <c r="A429" s="216"/>
      <c r="B429" s="217"/>
      <c r="C429" s="218"/>
      <c r="D429" s="219"/>
      <c r="E429" s="220"/>
      <c r="F429" s="221"/>
      <c r="G429" s="222"/>
    </row>
    <row r="430" spans="1:7" s="112" customFormat="1">
      <c r="A430" s="216"/>
      <c r="B430" s="217"/>
      <c r="C430" s="218"/>
      <c r="D430" s="219"/>
      <c r="E430" s="220"/>
      <c r="F430" s="221"/>
      <c r="G430" s="222"/>
    </row>
    <row r="431" spans="1:7" s="112" customFormat="1">
      <c r="A431" s="216"/>
      <c r="B431" s="217"/>
      <c r="C431" s="218"/>
      <c r="D431" s="219"/>
      <c r="E431" s="220"/>
      <c r="F431" s="221"/>
      <c r="G431" s="222"/>
    </row>
    <row r="432" spans="1:7" s="112" customFormat="1">
      <c r="A432" s="216"/>
      <c r="B432" s="217"/>
      <c r="C432" s="218"/>
      <c r="D432" s="219"/>
      <c r="E432" s="220"/>
      <c r="F432" s="221"/>
      <c r="G432" s="222"/>
    </row>
    <row r="433" spans="1:7" s="112" customFormat="1">
      <c r="A433" s="216"/>
      <c r="B433" s="217"/>
      <c r="C433" s="218"/>
      <c r="D433" s="219"/>
      <c r="E433" s="220"/>
      <c r="F433" s="221"/>
      <c r="G433" s="222"/>
    </row>
    <row r="434" spans="1:7" s="112" customFormat="1">
      <c r="A434" s="216"/>
      <c r="B434" s="217"/>
      <c r="C434" s="218"/>
      <c r="D434" s="219"/>
      <c r="E434" s="220"/>
      <c r="F434" s="221"/>
      <c r="G434" s="222"/>
    </row>
    <row r="435" spans="1:7" s="112" customFormat="1">
      <c r="A435" s="216"/>
      <c r="B435" s="217"/>
      <c r="C435" s="218"/>
      <c r="D435" s="219"/>
      <c r="E435" s="220"/>
      <c r="F435" s="221"/>
      <c r="G435" s="222"/>
    </row>
    <row r="436" spans="1:7" s="112" customFormat="1">
      <c r="A436" s="216"/>
      <c r="B436" s="217"/>
      <c r="C436" s="218"/>
      <c r="D436" s="219"/>
      <c r="E436" s="220"/>
      <c r="F436" s="221"/>
      <c r="G436" s="222"/>
    </row>
    <row r="437" spans="1:7" s="112" customFormat="1">
      <c r="A437" s="216"/>
      <c r="B437" s="217"/>
      <c r="C437" s="218"/>
      <c r="D437" s="219"/>
      <c r="E437" s="220"/>
      <c r="F437" s="221"/>
      <c r="G437" s="222"/>
    </row>
    <row r="438" spans="1:7" s="112" customFormat="1">
      <c r="A438" s="216"/>
      <c r="B438" s="217"/>
      <c r="C438" s="218"/>
      <c r="D438" s="219"/>
      <c r="E438" s="220"/>
      <c r="F438" s="221"/>
      <c r="G438" s="222"/>
    </row>
    <row r="439" spans="1:7" s="112" customFormat="1">
      <c r="A439" s="216"/>
      <c r="B439" s="217"/>
      <c r="C439" s="218"/>
      <c r="D439" s="219"/>
      <c r="E439" s="220"/>
      <c r="F439" s="221"/>
      <c r="G439" s="222"/>
    </row>
    <row r="440" spans="1:7" s="112" customFormat="1">
      <c r="A440" s="216"/>
      <c r="B440" s="217"/>
      <c r="C440" s="218"/>
      <c r="D440" s="219"/>
      <c r="E440" s="220"/>
      <c r="F440" s="221"/>
      <c r="G440" s="222"/>
    </row>
    <row r="441" spans="1:7" s="112" customFormat="1">
      <c r="A441" s="216"/>
      <c r="B441" s="217"/>
      <c r="C441" s="218"/>
      <c r="D441" s="219"/>
      <c r="E441" s="220"/>
      <c r="F441" s="221"/>
      <c r="G441" s="222"/>
    </row>
    <row r="442" spans="1:7" s="112" customFormat="1">
      <c r="A442" s="216"/>
      <c r="B442" s="217"/>
      <c r="C442" s="218"/>
      <c r="D442" s="219"/>
      <c r="E442" s="220"/>
      <c r="F442" s="221"/>
      <c r="G442" s="222"/>
    </row>
    <row r="443" spans="1:7" s="112" customFormat="1">
      <c r="A443" s="216"/>
      <c r="B443" s="217"/>
      <c r="C443" s="218"/>
      <c r="D443" s="219"/>
      <c r="E443" s="220"/>
      <c r="F443" s="221"/>
      <c r="G443" s="222"/>
    </row>
    <row r="444" spans="1:7" s="112" customFormat="1">
      <c r="A444" s="216"/>
      <c r="B444" s="217"/>
      <c r="C444" s="218"/>
      <c r="D444" s="219"/>
      <c r="E444" s="220"/>
      <c r="F444" s="221"/>
      <c r="G444" s="222"/>
    </row>
    <row r="445" spans="1:7" s="112" customFormat="1">
      <c r="A445" s="216"/>
      <c r="B445" s="217"/>
      <c r="C445" s="218"/>
      <c r="D445" s="219"/>
      <c r="E445" s="220"/>
      <c r="F445" s="221"/>
      <c r="G445" s="222"/>
    </row>
    <row r="446" spans="1:7" s="112" customFormat="1">
      <c r="A446" s="216"/>
      <c r="B446" s="217"/>
      <c r="C446" s="218"/>
      <c r="D446" s="219"/>
      <c r="E446" s="220"/>
      <c r="F446" s="221"/>
      <c r="G446" s="222"/>
    </row>
    <row r="447" spans="1:7" s="112" customFormat="1">
      <c r="A447" s="216"/>
      <c r="B447" s="217"/>
      <c r="C447" s="218"/>
      <c r="D447" s="219"/>
      <c r="E447" s="220"/>
      <c r="F447" s="221"/>
      <c r="G447" s="222"/>
    </row>
    <row r="448" spans="1:7" s="112" customFormat="1">
      <c r="A448" s="216"/>
      <c r="B448" s="217"/>
      <c r="C448" s="218"/>
      <c r="D448" s="219"/>
      <c r="E448" s="220"/>
      <c r="F448" s="221"/>
      <c r="G448" s="222"/>
    </row>
    <row r="449" spans="1:7" s="112" customFormat="1">
      <c r="A449" s="216"/>
      <c r="B449" s="217"/>
      <c r="C449" s="218"/>
      <c r="D449" s="219"/>
      <c r="E449" s="220"/>
      <c r="F449" s="221"/>
      <c r="G449" s="222"/>
    </row>
    <row r="450" spans="1:7" s="112" customFormat="1">
      <c r="A450" s="216"/>
      <c r="B450" s="217"/>
      <c r="C450" s="218"/>
      <c r="D450" s="219"/>
      <c r="E450" s="220"/>
      <c r="F450" s="221"/>
      <c r="G450" s="222"/>
    </row>
    <row r="451" spans="1:7" s="112" customFormat="1">
      <c r="A451" s="216"/>
      <c r="B451" s="217"/>
      <c r="C451" s="218"/>
      <c r="D451" s="219"/>
      <c r="E451" s="220"/>
      <c r="F451" s="221"/>
      <c r="G451" s="222"/>
    </row>
    <row r="452" spans="1:7" s="112" customFormat="1">
      <c r="A452" s="216"/>
      <c r="B452" s="217"/>
      <c r="C452" s="218"/>
      <c r="D452" s="219"/>
      <c r="E452" s="220"/>
      <c r="F452" s="221"/>
      <c r="G452" s="222"/>
    </row>
    <row r="453" spans="1:7" s="112" customFormat="1">
      <c r="A453" s="216"/>
      <c r="B453" s="217"/>
      <c r="C453" s="218"/>
      <c r="D453" s="219"/>
      <c r="E453" s="220"/>
      <c r="F453" s="221"/>
      <c r="G453" s="222"/>
    </row>
    <row r="454" spans="1:7" s="112" customFormat="1">
      <c r="A454" s="216"/>
      <c r="B454" s="217"/>
      <c r="C454" s="218"/>
      <c r="D454" s="219"/>
      <c r="E454" s="220"/>
      <c r="F454" s="221"/>
      <c r="G454" s="222"/>
    </row>
    <row r="455" spans="1:7" s="112" customFormat="1">
      <c r="A455" s="216"/>
      <c r="B455" s="217"/>
      <c r="C455" s="218"/>
      <c r="D455" s="219"/>
      <c r="E455" s="220"/>
      <c r="F455" s="221"/>
      <c r="G455" s="222"/>
    </row>
    <row r="456" spans="1:7" s="112" customFormat="1">
      <c r="A456" s="216"/>
      <c r="B456" s="217"/>
      <c r="C456" s="218"/>
      <c r="D456" s="219"/>
      <c r="E456" s="220"/>
      <c r="F456" s="221"/>
      <c r="G456" s="222"/>
    </row>
    <row r="457" spans="1:7" s="112" customFormat="1">
      <c r="A457" s="216"/>
      <c r="B457" s="217"/>
      <c r="C457" s="218"/>
      <c r="D457" s="219"/>
      <c r="E457" s="220"/>
      <c r="F457" s="221"/>
      <c r="G457" s="222"/>
    </row>
    <row r="458" spans="1:7" s="112" customFormat="1">
      <c r="A458" s="216"/>
      <c r="B458" s="217"/>
      <c r="C458" s="218"/>
      <c r="D458" s="219"/>
      <c r="E458" s="220"/>
      <c r="F458" s="221"/>
      <c r="G458" s="222"/>
    </row>
    <row r="459" spans="1:7" s="112" customFormat="1">
      <c r="A459" s="216"/>
      <c r="B459" s="217"/>
      <c r="C459" s="218"/>
      <c r="D459" s="219"/>
      <c r="E459" s="220"/>
      <c r="F459" s="221"/>
      <c r="G459" s="222"/>
    </row>
    <row r="460" spans="1:7" s="112" customFormat="1">
      <c r="A460" s="216"/>
      <c r="B460" s="217"/>
      <c r="C460" s="218"/>
      <c r="D460" s="219"/>
      <c r="E460" s="220"/>
      <c r="F460" s="221"/>
      <c r="G460" s="222"/>
    </row>
    <row r="461" spans="1:7" s="112" customFormat="1">
      <c r="A461" s="216"/>
      <c r="B461" s="217"/>
      <c r="C461" s="218"/>
      <c r="D461" s="219"/>
      <c r="E461" s="220"/>
      <c r="F461" s="221"/>
      <c r="G461" s="222"/>
    </row>
    <row r="462" spans="1:7" s="112" customFormat="1">
      <c r="A462" s="216"/>
      <c r="B462" s="217"/>
      <c r="C462" s="218"/>
      <c r="D462" s="219"/>
      <c r="E462" s="220"/>
      <c r="F462" s="221"/>
      <c r="G462" s="222"/>
    </row>
    <row r="463" spans="1:7" s="112" customFormat="1">
      <c r="A463" s="216"/>
      <c r="B463" s="217"/>
      <c r="C463" s="218"/>
      <c r="D463" s="219"/>
      <c r="E463" s="220"/>
      <c r="F463" s="221"/>
      <c r="G463" s="222"/>
    </row>
    <row r="464" spans="1:7" s="112" customFormat="1">
      <c r="A464" s="216"/>
      <c r="B464" s="217"/>
      <c r="C464" s="218"/>
      <c r="D464" s="219"/>
      <c r="E464" s="220"/>
      <c r="F464" s="221"/>
      <c r="G464" s="222"/>
    </row>
    <row r="465" spans="1:7" s="112" customFormat="1">
      <c r="A465" s="216"/>
      <c r="B465" s="217"/>
      <c r="C465" s="218"/>
      <c r="D465" s="219"/>
      <c r="E465" s="220"/>
      <c r="F465" s="221"/>
      <c r="G465" s="222"/>
    </row>
    <row r="466" spans="1:7" s="112" customFormat="1">
      <c r="A466" s="216"/>
      <c r="B466" s="217"/>
      <c r="C466" s="218"/>
      <c r="D466" s="219"/>
      <c r="E466" s="220"/>
      <c r="F466" s="221"/>
      <c r="G466" s="222"/>
    </row>
    <row r="467" spans="1:7" s="112" customFormat="1">
      <c r="A467" s="216"/>
      <c r="B467" s="217"/>
      <c r="C467" s="218"/>
      <c r="D467" s="219"/>
      <c r="E467" s="220"/>
      <c r="F467" s="221"/>
      <c r="G467" s="222"/>
    </row>
    <row r="468" spans="1:7" s="112" customFormat="1">
      <c r="A468" s="216"/>
      <c r="B468" s="217"/>
      <c r="C468" s="218"/>
      <c r="D468" s="219"/>
      <c r="E468" s="220"/>
      <c r="F468" s="221"/>
      <c r="G468" s="222"/>
    </row>
    <row r="469" spans="1:7" s="112" customFormat="1">
      <c r="A469" s="216"/>
      <c r="B469" s="217"/>
      <c r="C469" s="218"/>
      <c r="D469" s="219"/>
      <c r="E469" s="220"/>
      <c r="F469" s="221"/>
      <c r="G469" s="222"/>
    </row>
    <row r="470" spans="1:7" s="112" customFormat="1">
      <c r="A470" s="216"/>
      <c r="B470" s="217"/>
      <c r="C470" s="218"/>
      <c r="D470" s="219"/>
      <c r="E470" s="220"/>
      <c r="F470" s="221"/>
      <c r="G470" s="222"/>
    </row>
    <row r="471" spans="1:7" s="112" customFormat="1">
      <c r="A471" s="216"/>
      <c r="B471" s="217"/>
      <c r="C471" s="218"/>
      <c r="D471" s="219"/>
      <c r="E471" s="220"/>
      <c r="F471" s="221"/>
      <c r="G471" s="222"/>
    </row>
    <row r="472" spans="1:7" s="112" customFormat="1">
      <c r="A472" s="216"/>
      <c r="B472" s="217"/>
      <c r="C472" s="218"/>
      <c r="D472" s="219"/>
      <c r="E472" s="220"/>
      <c r="F472" s="221"/>
      <c r="G472" s="222"/>
    </row>
    <row r="473" spans="1:7" s="112" customFormat="1">
      <c r="A473" s="216"/>
      <c r="B473" s="217"/>
      <c r="C473" s="218"/>
      <c r="D473" s="219"/>
      <c r="E473" s="220"/>
      <c r="F473" s="221"/>
      <c r="G473" s="222"/>
    </row>
    <row r="474" spans="1:7" s="112" customFormat="1">
      <c r="A474" s="216"/>
      <c r="B474" s="217"/>
      <c r="C474" s="218"/>
      <c r="D474" s="219"/>
      <c r="E474" s="220"/>
      <c r="F474" s="221"/>
      <c r="G474" s="222"/>
    </row>
    <row r="475" spans="1:7" s="112" customFormat="1">
      <c r="A475" s="216"/>
      <c r="B475" s="217"/>
      <c r="C475" s="218"/>
      <c r="D475" s="219"/>
      <c r="E475" s="220"/>
      <c r="F475" s="221"/>
      <c r="G475" s="222"/>
    </row>
    <row r="476" spans="1:7" s="112" customFormat="1">
      <c r="A476" s="216"/>
      <c r="B476" s="217"/>
      <c r="C476" s="218"/>
      <c r="D476" s="219"/>
      <c r="E476" s="220"/>
      <c r="F476" s="221"/>
      <c r="G476" s="222"/>
    </row>
    <row r="477" spans="1:7" s="112" customFormat="1">
      <c r="A477" s="216"/>
      <c r="B477" s="217"/>
      <c r="C477" s="218"/>
      <c r="D477" s="219"/>
      <c r="E477" s="220"/>
      <c r="F477" s="221"/>
      <c r="G477" s="222"/>
    </row>
    <row r="478" spans="1:7" s="112" customFormat="1">
      <c r="A478" s="216"/>
      <c r="B478" s="217"/>
      <c r="C478" s="218"/>
      <c r="D478" s="219"/>
      <c r="E478" s="220"/>
      <c r="F478" s="221"/>
      <c r="G478" s="222"/>
    </row>
    <row r="479" spans="1:7" s="112" customFormat="1">
      <c r="A479" s="216"/>
      <c r="B479" s="217"/>
      <c r="C479" s="218"/>
      <c r="D479" s="219"/>
      <c r="E479" s="220"/>
      <c r="F479" s="221"/>
      <c r="G479" s="222"/>
    </row>
    <row r="480" spans="1:7" s="112" customFormat="1">
      <c r="A480" s="216"/>
      <c r="B480" s="217"/>
      <c r="C480" s="218"/>
      <c r="D480" s="219"/>
      <c r="E480" s="220"/>
      <c r="F480" s="221"/>
      <c r="G480" s="222"/>
    </row>
    <row r="481" spans="1:8" s="112" customFormat="1">
      <c r="A481" s="216"/>
      <c r="B481" s="217"/>
      <c r="C481" s="218"/>
      <c r="D481" s="219"/>
      <c r="E481" s="220"/>
      <c r="F481" s="221"/>
      <c r="G481" s="222"/>
    </row>
    <row r="482" spans="1:8" s="112" customFormat="1">
      <c r="A482" s="216"/>
      <c r="B482" s="217"/>
      <c r="C482" s="218"/>
      <c r="D482" s="219"/>
      <c r="E482" s="220"/>
      <c r="F482" s="221"/>
      <c r="G482" s="222"/>
    </row>
    <row r="483" spans="1:8" s="112" customFormat="1">
      <c r="A483" s="216"/>
      <c r="B483" s="217"/>
      <c r="C483" s="218"/>
      <c r="D483" s="219"/>
      <c r="E483" s="220"/>
      <c r="F483" s="221"/>
      <c r="G483" s="222"/>
    </row>
    <row r="484" spans="1:8" s="112" customFormat="1">
      <c r="A484" s="216"/>
      <c r="B484" s="217"/>
      <c r="C484" s="218"/>
      <c r="D484" s="219"/>
      <c r="E484" s="220"/>
      <c r="F484" s="221"/>
      <c r="G484" s="222"/>
    </row>
    <row r="485" spans="1:8" s="112" customFormat="1">
      <c r="A485" s="216"/>
      <c r="B485" s="217"/>
      <c r="C485" s="218"/>
      <c r="D485" s="219"/>
      <c r="E485" s="220"/>
      <c r="F485" s="221"/>
      <c r="G485" s="222"/>
    </row>
    <row r="486" spans="1:8" s="112" customFormat="1">
      <c r="A486" s="216"/>
      <c r="B486" s="217"/>
      <c r="C486" s="218"/>
      <c r="D486" s="219"/>
      <c r="E486" s="220"/>
      <c r="F486" s="221"/>
      <c r="G486" s="222"/>
    </row>
    <row r="487" spans="1:8" s="112" customFormat="1">
      <c r="A487" s="216"/>
      <c r="B487" s="217"/>
      <c r="C487" s="218"/>
      <c r="D487" s="219"/>
      <c r="E487" s="220"/>
      <c r="F487" s="221"/>
      <c r="G487" s="222"/>
    </row>
    <row r="488" spans="1:8" s="112" customFormat="1">
      <c r="A488" s="216"/>
      <c r="B488" s="217"/>
      <c r="C488" s="218"/>
      <c r="D488" s="219"/>
      <c r="E488" s="220"/>
      <c r="F488" s="221"/>
      <c r="G488" s="222"/>
    </row>
    <row r="489" spans="1:8" s="112" customFormat="1">
      <c r="A489" s="216"/>
      <c r="B489" s="217"/>
      <c r="C489" s="218"/>
      <c r="D489" s="219"/>
      <c r="E489" s="220"/>
      <c r="F489" s="221"/>
      <c r="G489" s="222"/>
    </row>
    <row r="490" spans="1:8" s="112" customFormat="1">
      <c r="A490" s="216"/>
      <c r="B490" s="217"/>
      <c r="C490" s="218"/>
      <c r="D490" s="219"/>
      <c r="E490" s="220"/>
      <c r="F490" s="221"/>
      <c r="G490" s="222"/>
    </row>
    <row r="491" spans="1:8" s="112" customFormat="1">
      <c r="A491" s="216"/>
      <c r="B491" s="217"/>
      <c r="C491" s="218"/>
      <c r="D491" s="219"/>
      <c r="E491" s="220"/>
      <c r="F491" s="221"/>
      <c r="G491" s="222"/>
    </row>
    <row r="492" spans="1:8" s="112" customFormat="1">
      <c r="A492" s="216"/>
      <c r="B492" s="217"/>
      <c r="C492" s="218"/>
      <c r="D492" s="219"/>
      <c r="E492" s="220"/>
      <c r="F492" s="221"/>
      <c r="G492" s="222"/>
    </row>
    <row r="493" spans="1:8">
      <c r="B493" s="217"/>
      <c r="C493" s="218"/>
      <c r="D493" s="219"/>
      <c r="E493" s="220"/>
      <c r="F493" s="221"/>
      <c r="G493" s="222"/>
      <c r="H493" s="112"/>
    </row>
    <row r="494" spans="1:8">
      <c r="B494" s="217"/>
      <c r="C494" s="218"/>
      <c r="D494" s="219"/>
      <c r="E494" s="220"/>
      <c r="F494" s="221"/>
      <c r="G494" s="222"/>
      <c r="H494" s="112"/>
    </row>
    <row r="495" spans="1:8">
      <c r="B495" s="217"/>
      <c r="C495" s="218"/>
      <c r="D495" s="219"/>
      <c r="E495" s="220"/>
      <c r="F495" s="221"/>
      <c r="G495" s="222"/>
      <c r="H495" s="112"/>
    </row>
    <row r="496" spans="1:8">
      <c r="B496" s="217"/>
      <c r="C496" s="218"/>
      <c r="D496" s="219"/>
      <c r="E496" s="220"/>
      <c r="F496" s="221"/>
      <c r="G496" s="222"/>
      <c r="H496" s="112"/>
    </row>
    <row r="497" spans="2:8">
      <c r="B497" s="217"/>
      <c r="C497" s="218"/>
      <c r="D497" s="219"/>
      <c r="E497" s="220"/>
      <c r="F497" s="221"/>
      <c r="G497" s="222"/>
      <c r="H497" s="112"/>
    </row>
    <row r="498" spans="2:8">
      <c r="B498" s="217"/>
      <c r="C498" s="218"/>
      <c r="D498" s="219"/>
      <c r="E498" s="220"/>
      <c r="F498" s="221"/>
    </row>
  </sheetData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K498"/>
  <sheetViews>
    <sheetView view="pageBreakPreview" workbookViewId="0">
      <selection activeCell="J4" sqref="J4"/>
    </sheetView>
  </sheetViews>
  <sheetFormatPr defaultRowHeight="13.5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375" style="284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252" customFormat="1" ht="37.5" customHeight="1" thickBot="1">
      <c r="A1" s="30"/>
      <c r="B1" s="63" t="s">
        <v>163</v>
      </c>
      <c r="C1" s="314"/>
      <c r="D1" s="315"/>
      <c r="E1" s="273"/>
      <c r="F1" s="66"/>
      <c r="G1" s="54" t="s">
        <v>164</v>
      </c>
      <c r="H1"/>
      <c r="I1" s="252" t="s">
        <v>165</v>
      </c>
      <c r="J1" s="252" t="s">
        <v>166</v>
      </c>
      <c r="K1"/>
    </row>
    <row r="2" spans="1:11" s="149" customFormat="1" ht="34.5" customHeight="1">
      <c r="A2" s="148"/>
      <c r="B2" s="149" t="s">
        <v>364</v>
      </c>
      <c r="C2" s="149" t="s">
        <v>162</v>
      </c>
      <c r="D2" s="149" t="s">
        <v>5</v>
      </c>
      <c r="E2" s="274"/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98"/>
      <c r="F3" s="160"/>
      <c r="G3" s="161"/>
      <c r="H3" s="162"/>
      <c r="J3" s="163"/>
      <c r="K3" s="164"/>
    </row>
    <row r="4" spans="1:11" s="3" customFormat="1" ht="21" customHeight="1">
      <c r="A4" s="156" t="s">
        <v>13</v>
      </c>
      <c r="B4" s="167"/>
      <c r="C4" s="168"/>
      <c r="D4" s="169"/>
      <c r="E4" s="299"/>
      <c r="F4" s="160"/>
      <c r="G4" s="161"/>
      <c r="H4" s="162"/>
      <c r="J4" s="163"/>
      <c r="K4" s="164"/>
    </row>
    <row r="5" spans="1:11" s="3" customFormat="1" ht="21" customHeight="1">
      <c r="A5" s="156" t="s">
        <v>14</v>
      </c>
      <c r="B5" s="167"/>
      <c r="C5" s="168"/>
      <c r="D5" s="169"/>
      <c r="E5" s="299"/>
      <c r="F5" s="160"/>
      <c r="G5" s="161"/>
      <c r="H5" s="162"/>
      <c r="J5" s="163"/>
      <c r="K5" s="164"/>
    </row>
    <row r="6" spans="1:11" s="3" customFormat="1" ht="21" customHeight="1">
      <c r="A6" s="156" t="s">
        <v>15</v>
      </c>
      <c r="B6" s="171"/>
      <c r="C6" s="168"/>
      <c r="D6" s="169"/>
      <c r="E6" s="299"/>
      <c r="F6" s="160"/>
      <c r="G6" s="161"/>
      <c r="H6" s="162"/>
      <c r="J6" s="163"/>
      <c r="K6" s="164"/>
    </row>
    <row r="7" spans="1:11" s="3" customFormat="1" ht="21" customHeight="1">
      <c r="A7" s="156" t="s">
        <v>16</v>
      </c>
      <c r="B7" s="167"/>
      <c r="C7" s="172"/>
      <c r="D7" s="159"/>
      <c r="E7" s="298"/>
      <c r="F7" s="160"/>
      <c r="G7" s="161"/>
      <c r="H7" s="162"/>
      <c r="J7" s="163"/>
      <c r="K7" s="164"/>
    </row>
    <row r="8" spans="1:11" s="3" customFormat="1" ht="21" customHeight="1">
      <c r="A8" s="156" t="s">
        <v>17</v>
      </c>
      <c r="B8" s="167"/>
      <c r="C8" s="172"/>
      <c r="D8" s="159"/>
      <c r="E8" s="298"/>
      <c r="F8" s="160"/>
      <c r="G8" s="161"/>
      <c r="H8" s="162"/>
      <c r="J8" s="163"/>
      <c r="K8" s="164"/>
    </row>
    <row r="9" spans="1:11" s="3" customFormat="1" ht="21" customHeight="1">
      <c r="A9" s="156" t="s">
        <v>18</v>
      </c>
      <c r="B9" s="167"/>
      <c r="C9" s="158"/>
      <c r="D9" s="159"/>
      <c r="E9" s="298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300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301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99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99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302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98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303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303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300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98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99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99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99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99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303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302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300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98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99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99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99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72"/>
      <c r="D31" s="159"/>
      <c r="E31" s="298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98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98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300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301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99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99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94"/>
      <c r="D38" s="195"/>
      <c r="E38" s="302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72"/>
      <c r="D39" s="159"/>
      <c r="E39" s="298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80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80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77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75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76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76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76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76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80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79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77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75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76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76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76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75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75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75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77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78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76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76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79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75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80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80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77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75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76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76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76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76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80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68"/>
      <c r="D73" s="195"/>
      <c r="E73" s="279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75"/>
      <c r="D74" s="176"/>
      <c r="E74" s="277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75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76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76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76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75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75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75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77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78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76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76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79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75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80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80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77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75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76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76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76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76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80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79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77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75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76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76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76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76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80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79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81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75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75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75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75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75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75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80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81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75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76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76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76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76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80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79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81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75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80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80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80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80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80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80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81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75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76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79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75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80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80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80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81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79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282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282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282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282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282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282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81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83"/>
      <c r="F147" s="221"/>
      <c r="G147" s="222"/>
    </row>
    <row r="148" spans="1:11" s="112" customFormat="1">
      <c r="A148" s="216"/>
      <c r="B148" s="217"/>
      <c r="C148" s="218"/>
      <c r="D148" s="219"/>
      <c r="E148" s="283"/>
      <c r="F148" s="221"/>
      <c r="G148" s="222"/>
    </row>
    <row r="149" spans="1:11" s="112" customFormat="1">
      <c r="A149" s="216"/>
      <c r="B149" s="217"/>
      <c r="C149" s="218"/>
      <c r="D149" s="219"/>
      <c r="E149" s="283"/>
      <c r="F149" s="221"/>
      <c r="G149" s="222"/>
    </row>
    <row r="150" spans="1:11" s="112" customFormat="1">
      <c r="A150" s="216"/>
      <c r="B150" s="217"/>
      <c r="C150" s="218"/>
      <c r="D150" s="219"/>
      <c r="E150" s="283"/>
      <c r="F150" s="221"/>
      <c r="G150" s="222"/>
    </row>
    <row r="151" spans="1:11" s="112" customFormat="1">
      <c r="A151" s="216"/>
      <c r="B151" s="217"/>
      <c r="C151" s="218"/>
      <c r="D151" s="219"/>
      <c r="E151" s="283"/>
      <c r="F151" s="221"/>
      <c r="G151" s="222"/>
    </row>
    <row r="152" spans="1:11" s="112" customFormat="1">
      <c r="A152" s="216"/>
      <c r="B152" s="217"/>
      <c r="C152" s="218"/>
      <c r="D152" s="219"/>
      <c r="E152" s="283"/>
      <c r="F152" s="221"/>
      <c r="G152" s="222"/>
    </row>
    <row r="153" spans="1:11" s="112" customFormat="1">
      <c r="A153" s="216"/>
      <c r="B153" s="217"/>
      <c r="C153" s="218"/>
      <c r="D153" s="219"/>
      <c r="E153" s="283"/>
      <c r="F153" s="221"/>
      <c r="G153" s="222"/>
    </row>
    <row r="154" spans="1:11" s="112" customFormat="1">
      <c r="A154" s="216"/>
      <c r="B154" s="217"/>
      <c r="C154" s="218"/>
      <c r="D154" s="219"/>
      <c r="E154" s="283"/>
      <c r="F154" s="221"/>
      <c r="G154" s="222"/>
    </row>
    <row r="155" spans="1:11" s="112" customFormat="1">
      <c r="A155" s="216"/>
      <c r="B155" s="217"/>
      <c r="C155" s="218"/>
      <c r="D155" s="219"/>
      <c r="E155" s="283"/>
      <c r="F155" s="221"/>
      <c r="G155" s="222"/>
    </row>
    <row r="156" spans="1:11" s="112" customFormat="1">
      <c r="A156" s="216"/>
      <c r="B156" s="217"/>
      <c r="C156" s="218"/>
      <c r="D156" s="219"/>
      <c r="E156" s="283"/>
      <c r="F156" s="221"/>
      <c r="G156" s="222"/>
    </row>
    <row r="157" spans="1:11" s="112" customFormat="1">
      <c r="A157" s="216"/>
      <c r="B157" s="217"/>
      <c r="C157" s="218"/>
      <c r="D157" s="219"/>
      <c r="E157" s="283"/>
      <c r="F157" s="221"/>
      <c r="G157" s="222"/>
    </row>
    <row r="158" spans="1:11" s="112" customFormat="1">
      <c r="A158" s="216"/>
      <c r="B158" s="217"/>
      <c r="C158" s="218"/>
      <c r="D158" s="219"/>
      <c r="E158" s="283"/>
      <c r="F158" s="221"/>
      <c r="G158" s="222"/>
    </row>
    <row r="159" spans="1:11" s="112" customFormat="1">
      <c r="A159" s="216"/>
      <c r="B159" s="217"/>
      <c r="C159" s="218"/>
      <c r="D159" s="219"/>
      <c r="E159" s="283"/>
      <c r="F159" s="221"/>
      <c r="G159" s="222"/>
    </row>
    <row r="160" spans="1:11" s="112" customFormat="1">
      <c r="A160" s="216"/>
      <c r="B160" s="217"/>
      <c r="C160" s="218"/>
      <c r="D160" s="219"/>
      <c r="E160" s="283"/>
      <c r="F160" s="221"/>
      <c r="G160" s="222"/>
    </row>
    <row r="161" spans="1:7" s="112" customFormat="1">
      <c r="A161" s="216"/>
      <c r="B161" s="217"/>
      <c r="C161" s="218"/>
      <c r="D161" s="219"/>
      <c r="E161" s="283"/>
      <c r="F161" s="221"/>
      <c r="G161" s="222"/>
    </row>
    <row r="162" spans="1:7" s="112" customFormat="1">
      <c r="A162" s="216"/>
      <c r="B162" s="217"/>
      <c r="C162" s="218"/>
      <c r="D162" s="219"/>
      <c r="E162" s="283"/>
      <c r="F162" s="221"/>
      <c r="G162" s="222"/>
    </row>
    <row r="163" spans="1:7" s="112" customFormat="1">
      <c r="A163" s="216"/>
      <c r="B163" s="217"/>
      <c r="C163" s="218"/>
      <c r="D163" s="219"/>
      <c r="E163" s="283"/>
      <c r="F163" s="221"/>
      <c r="G163" s="222"/>
    </row>
    <row r="164" spans="1:7" s="112" customFormat="1">
      <c r="A164" s="216"/>
      <c r="B164" s="217"/>
      <c r="C164" s="218"/>
      <c r="D164" s="219"/>
      <c r="E164" s="283"/>
      <c r="F164" s="221"/>
      <c r="G164" s="222"/>
    </row>
    <row r="165" spans="1:7" s="112" customFormat="1">
      <c r="A165" s="216"/>
      <c r="B165" s="217"/>
      <c r="C165" s="218"/>
      <c r="D165" s="219"/>
      <c r="E165" s="283"/>
      <c r="F165" s="221"/>
      <c r="G165" s="222"/>
    </row>
    <row r="166" spans="1:7" s="112" customFormat="1">
      <c r="A166" s="216"/>
      <c r="B166" s="217"/>
      <c r="C166" s="218"/>
      <c r="D166" s="219"/>
      <c r="E166" s="283"/>
      <c r="F166" s="221"/>
      <c r="G166" s="222"/>
    </row>
    <row r="167" spans="1:7" s="112" customFormat="1">
      <c r="A167" s="216"/>
      <c r="B167" s="217"/>
      <c r="C167" s="218"/>
      <c r="D167" s="219"/>
      <c r="E167" s="283"/>
      <c r="F167" s="221"/>
      <c r="G167" s="222"/>
    </row>
    <row r="168" spans="1:7" s="112" customFormat="1">
      <c r="A168" s="216"/>
      <c r="B168" s="217"/>
      <c r="C168" s="218"/>
      <c r="D168" s="219"/>
      <c r="E168" s="283"/>
      <c r="F168" s="221"/>
      <c r="G168" s="222"/>
    </row>
    <row r="169" spans="1:7" s="112" customFormat="1">
      <c r="A169" s="216"/>
      <c r="B169" s="217"/>
      <c r="C169" s="218"/>
      <c r="D169" s="219"/>
      <c r="E169" s="283"/>
      <c r="F169" s="221"/>
      <c r="G169" s="222"/>
    </row>
    <row r="170" spans="1:7" s="112" customFormat="1">
      <c r="A170" s="216"/>
      <c r="B170" s="217"/>
      <c r="C170" s="218"/>
      <c r="D170" s="219"/>
      <c r="E170" s="283"/>
      <c r="F170" s="221"/>
      <c r="G170" s="222"/>
    </row>
    <row r="171" spans="1:7" s="112" customFormat="1">
      <c r="A171" s="216"/>
      <c r="B171" s="217"/>
      <c r="C171" s="218"/>
      <c r="D171" s="219"/>
      <c r="E171" s="283"/>
      <c r="F171" s="221"/>
      <c r="G171" s="222"/>
    </row>
    <row r="172" spans="1:7" s="112" customFormat="1">
      <c r="A172" s="216"/>
      <c r="B172" s="217"/>
      <c r="C172" s="218"/>
      <c r="D172" s="219"/>
      <c r="E172" s="283"/>
      <c r="F172" s="221"/>
      <c r="G172" s="222"/>
    </row>
    <row r="173" spans="1:7" s="112" customFormat="1">
      <c r="A173" s="216"/>
      <c r="B173" s="217"/>
      <c r="C173" s="218"/>
      <c r="D173" s="219"/>
      <c r="E173" s="283"/>
      <c r="F173" s="221"/>
      <c r="G173" s="222"/>
    </row>
    <row r="174" spans="1:7" s="112" customFormat="1">
      <c r="A174" s="216"/>
      <c r="B174" s="217"/>
      <c r="C174" s="218"/>
      <c r="D174" s="219"/>
      <c r="E174" s="283"/>
      <c r="F174" s="221"/>
      <c r="G174" s="222"/>
    </row>
    <row r="175" spans="1:7" s="112" customFormat="1">
      <c r="A175" s="216"/>
      <c r="B175" s="217"/>
      <c r="C175" s="218"/>
      <c r="D175" s="219"/>
      <c r="E175" s="283"/>
      <c r="F175" s="221"/>
      <c r="G175" s="222"/>
    </row>
    <row r="176" spans="1:7" s="112" customFormat="1">
      <c r="A176" s="216"/>
      <c r="B176" s="217"/>
      <c r="C176" s="218"/>
      <c r="D176" s="219"/>
      <c r="E176" s="283"/>
      <c r="F176" s="221"/>
      <c r="G176" s="222"/>
    </row>
    <row r="177" spans="1:7" s="112" customFormat="1">
      <c r="A177" s="216"/>
      <c r="B177" s="217"/>
      <c r="C177" s="218"/>
      <c r="D177" s="219"/>
      <c r="E177" s="283"/>
      <c r="F177" s="221"/>
      <c r="G177" s="222"/>
    </row>
    <row r="178" spans="1:7" s="112" customFormat="1">
      <c r="A178" s="216"/>
      <c r="B178" s="217"/>
      <c r="C178" s="218"/>
      <c r="D178" s="219"/>
      <c r="E178" s="283"/>
      <c r="F178" s="221"/>
      <c r="G178" s="222"/>
    </row>
    <row r="179" spans="1:7" s="112" customFormat="1">
      <c r="A179" s="216"/>
      <c r="B179" s="217"/>
      <c r="C179" s="218"/>
      <c r="D179" s="219"/>
      <c r="E179" s="283"/>
      <c r="F179" s="221"/>
      <c r="G179" s="222"/>
    </row>
    <row r="180" spans="1:7" s="112" customFormat="1">
      <c r="A180" s="216"/>
      <c r="B180" s="217"/>
      <c r="C180" s="218"/>
      <c r="D180" s="219"/>
      <c r="E180" s="283"/>
      <c r="F180" s="221"/>
      <c r="G180" s="222"/>
    </row>
    <row r="181" spans="1:7" s="112" customFormat="1">
      <c r="A181" s="216"/>
      <c r="B181" s="217"/>
      <c r="C181" s="218"/>
      <c r="D181" s="219"/>
      <c r="E181" s="283"/>
      <c r="F181" s="221"/>
      <c r="G181" s="222"/>
    </row>
    <row r="182" spans="1:7" s="112" customFormat="1">
      <c r="A182" s="216"/>
      <c r="B182" s="217"/>
      <c r="C182" s="218"/>
      <c r="D182" s="219"/>
      <c r="E182" s="283"/>
      <c r="F182" s="221"/>
      <c r="G182" s="222"/>
    </row>
    <row r="183" spans="1:7" s="112" customFormat="1">
      <c r="A183" s="216"/>
      <c r="B183" s="217"/>
      <c r="C183" s="218"/>
      <c r="D183" s="219"/>
      <c r="E183" s="283"/>
      <c r="F183" s="221"/>
      <c r="G183" s="222"/>
    </row>
    <row r="184" spans="1:7" s="112" customFormat="1">
      <c r="A184" s="216"/>
      <c r="B184" s="217"/>
      <c r="C184" s="218"/>
      <c r="D184" s="219"/>
      <c r="E184" s="283"/>
      <c r="F184" s="221"/>
      <c r="G184" s="222"/>
    </row>
    <row r="185" spans="1:7" s="112" customFormat="1">
      <c r="A185" s="216"/>
      <c r="B185" s="217"/>
      <c r="C185" s="218"/>
      <c r="D185" s="219"/>
      <c r="E185" s="283"/>
      <c r="F185" s="221"/>
      <c r="G185" s="222"/>
    </row>
    <row r="186" spans="1:7" s="112" customFormat="1">
      <c r="A186" s="216"/>
      <c r="B186" s="217"/>
      <c r="C186" s="218"/>
      <c r="D186" s="219"/>
      <c r="E186" s="283"/>
      <c r="F186" s="221"/>
      <c r="G186" s="222"/>
    </row>
    <row r="187" spans="1:7" s="112" customFormat="1">
      <c r="A187" s="216"/>
      <c r="B187" s="217"/>
      <c r="C187" s="218"/>
      <c r="D187" s="219"/>
      <c r="E187" s="283"/>
      <c r="F187" s="221"/>
      <c r="G187" s="222"/>
    </row>
    <row r="188" spans="1:7" s="112" customFormat="1">
      <c r="A188" s="216"/>
      <c r="B188" s="217"/>
      <c r="C188" s="218"/>
      <c r="D188" s="219"/>
      <c r="E188" s="283"/>
      <c r="F188" s="221"/>
      <c r="G188" s="222"/>
    </row>
    <row r="189" spans="1:7" s="112" customFormat="1">
      <c r="A189" s="216"/>
      <c r="B189" s="217"/>
      <c r="C189" s="218"/>
      <c r="D189" s="219"/>
      <c r="E189" s="283"/>
      <c r="F189" s="221"/>
      <c r="G189" s="222"/>
    </row>
    <row r="190" spans="1:7" s="112" customFormat="1">
      <c r="A190" s="216"/>
      <c r="B190" s="217"/>
      <c r="C190" s="218"/>
      <c r="D190" s="219"/>
      <c r="E190" s="283"/>
      <c r="F190" s="221"/>
      <c r="G190" s="222"/>
    </row>
    <row r="191" spans="1:7" s="112" customFormat="1">
      <c r="A191" s="216"/>
      <c r="B191" s="217"/>
      <c r="C191" s="218"/>
      <c r="D191" s="219"/>
      <c r="E191" s="283"/>
      <c r="F191" s="221"/>
      <c r="G191" s="222"/>
    </row>
    <row r="192" spans="1:7" s="112" customFormat="1">
      <c r="A192" s="216"/>
      <c r="B192" s="217"/>
      <c r="C192" s="218"/>
      <c r="D192" s="219"/>
      <c r="E192" s="283"/>
      <c r="F192" s="221"/>
      <c r="G192" s="222"/>
    </row>
    <row r="193" spans="1:7" s="112" customFormat="1">
      <c r="A193" s="216"/>
      <c r="B193" s="217"/>
      <c r="C193" s="218"/>
      <c r="D193" s="219"/>
      <c r="E193" s="283"/>
      <c r="F193" s="221"/>
      <c r="G193" s="222"/>
    </row>
    <row r="194" spans="1:7" s="112" customFormat="1">
      <c r="A194" s="216"/>
      <c r="B194" s="217"/>
      <c r="C194" s="218"/>
      <c r="D194" s="219"/>
      <c r="E194" s="283"/>
      <c r="F194" s="221"/>
      <c r="G194" s="222"/>
    </row>
    <row r="195" spans="1:7" s="112" customFormat="1">
      <c r="A195" s="216"/>
      <c r="B195" s="217"/>
      <c r="C195" s="218"/>
      <c r="D195" s="219"/>
      <c r="E195" s="283"/>
      <c r="F195" s="221"/>
      <c r="G195" s="222"/>
    </row>
    <row r="196" spans="1:7" s="112" customFormat="1">
      <c r="A196" s="216"/>
      <c r="B196" s="217"/>
      <c r="C196" s="218"/>
      <c r="D196" s="219"/>
      <c r="E196" s="283"/>
      <c r="F196" s="221"/>
      <c r="G196" s="222"/>
    </row>
    <row r="197" spans="1:7" s="112" customFormat="1">
      <c r="A197" s="216"/>
      <c r="B197" s="217"/>
      <c r="C197" s="218"/>
      <c r="D197" s="219"/>
      <c r="E197" s="283"/>
      <c r="F197" s="221"/>
      <c r="G197" s="222"/>
    </row>
    <row r="198" spans="1:7" s="112" customFormat="1">
      <c r="A198" s="216"/>
      <c r="B198" s="217"/>
      <c r="C198" s="218"/>
      <c r="D198" s="219"/>
      <c r="E198" s="283"/>
      <c r="F198" s="221"/>
      <c r="G198" s="222"/>
    </row>
    <row r="199" spans="1:7" s="112" customFormat="1">
      <c r="A199" s="216"/>
      <c r="B199" s="217"/>
      <c r="C199" s="218"/>
      <c r="D199" s="219"/>
      <c r="E199" s="283"/>
      <c r="F199" s="221"/>
      <c r="G199" s="222"/>
    </row>
    <row r="200" spans="1:7" s="112" customFormat="1">
      <c r="A200" s="216"/>
      <c r="B200" s="217"/>
      <c r="C200" s="218"/>
      <c r="D200" s="219"/>
      <c r="E200" s="283"/>
      <c r="F200" s="221"/>
      <c r="G200" s="222"/>
    </row>
    <row r="201" spans="1:7" s="112" customFormat="1">
      <c r="A201" s="216"/>
      <c r="B201" s="217"/>
      <c r="C201" s="218"/>
      <c r="D201" s="219"/>
      <c r="E201" s="283"/>
      <c r="F201" s="221"/>
      <c r="G201" s="222"/>
    </row>
    <row r="202" spans="1:7" s="112" customFormat="1">
      <c r="A202" s="216"/>
      <c r="B202" s="217"/>
      <c r="C202" s="218"/>
      <c r="D202" s="219"/>
      <c r="E202" s="283"/>
      <c r="F202" s="221"/>
      <c r="G202" s="222"/>
    </row>
    <row r="203" spans="1:7" s="112" customFormat="1">
      <c r="A203" s="216"/>
      <c r="B203" s="217"/>
      <c r="C203" s="218"/>
      <c r="D203" s="219"/>
      <c r="E203" s="283"/>
      <c r="F203" s="221"/>
      <c r="G203" s="222"/>
    </row>
    <row r="204" spans="1:7" s="112" customFormat="1">
      <c r="A204" s="216"/>
      <c r="B204" s="217"/>
      <c r="C204" s="218"/>
      <c r="D204" s="219"/>
      <c r="E204" s="283"/>
      <c r="F204" s="221"/>
      <c r="G204" s="222"/>
    </row>
    <row r="205" spans="1:7" s="112" customFormat="1">
      <c r="A205" s="216"/>
      <c r="B205" s="217"/>
      <c r="C205" s="218"/>
      <c r="D205" s="219"/>
      <c r="E205" s="283"/>
      <c r="F205" s="221"/>
      <c r="G205" s="222"/>
    </row>
    <row r="206" spans="1:7" s="112" customFormat="1">
      <c r="A206" s="216"/>
      <c r="B206" s="217"/>
      <c r="C206" s="218"/>
      <c r="D206" s="219"/>
      <c r="E206" s="283"/>
      <c r="F206" s="221"/>
      <c r="G206" s="222"/>
    </row>
    <row r="207" spans="1:7" s="112" customFormat="1">
      <c r="A207" s="216"/>
      <c r="B207" s="217"/>
      <c r="C207" s="218"/>
      <c r="D207" s="219"/>
      <c r="E207" s="283"/>
      <c r="F207" s="221"/>
      <c r="G207" s="222"/>
    </row>
    <row r="208" spans="1:7" s="112" customFormat="1">
      <c r="A208" s="216"/>
      <c r="B208" s="217"/>
      <c r="C208" s="218"/>
      <c r="D208" s="219"/>
      <c r="E208" s="283"/>
      <c r="F208" s="221"/>
      <c r="G208" s="222"/>
    </row>
    <row r="209" spans="1:7" s="112" customFormat="1">
      <c r="A209" s="216"/>
      <c r="B209" s="217"/>
      <c r="C209" s="218"/>
      <c r="D209" s="219"/>
      <c r="E209" s="283"/>
      <c r="F209" s="221"/>
      <c r="G209" s="222"/>
    </row>
    <row r="210" spans="1:7" s="112" customFormat="1">
      <c r="A210" s="216"/>
      <c r="B210" s="217"/>
      <c r="C210" s="218"/>
      <c r="D210" s="219"/>
      <c r="E210" s="283"/>
      <c r="F210" s="221"/>
      <c r="G210" s="222"/>
    </row>
    <row r="211" spans="1:7" s="112" customFormat="1">
      <c r="A211" s="216"/>
      <c r="B211" s="217"/>
      <c r="C211" s="218"/>
      <c r="D211" s="219"/>
      <c r="E211" s="283"/>
      <c r="F211" s="221"/>
      <c r="G211" s="222"/>
    </row>
    <row r="212" spans="1:7" s="112" customFormat="1">
      <c r="A212" s="216"/>
      <c r="B212" s="217"/>
      <c r="C212" s="218"/>
      <c r="D212" s="219"/>
      <c r="E212" s="283"/>
      <c r="F212" s="221"/>
      <c r="G212" s="222"/>
    </row>
    <row r="213" spans="1:7" s="112" customFormat="1">
      <c r="A213" s="216"/>
      <c r="B213" s="217"/>
      <c r="C213" s="218"/>
      <c r="D213" s="219"/>
      <c r="E213" s="283"/>
      <c r="F213" s="221"/>
      <c r="G213" s="222"/>
    </row>
    <row r="214" spans="1:7" s="112" customFormat="1">
      <c r="A214" s="216"/>
      <c r="B214" s="217"/>
      <c r="C214" s="218"/>
      <c r="D214" s="219"/>
      <c r="E214" s="283"/>
      <c r="F214" s="221"/>
      <c r="G214" s="222"/>
    </row>
    <row r="215" spans="1:7" s="112" customFormat="1">
      <c r="A215" s="216"/>
      <c r="B215" s="217"/>
      <c r="C215" s="218"/>
      <c r="D215" s="219"/>
      <c r="E215" s="283"/>
      <c r="F215" s="221"/>
      <c r="G215" s="222"/>
    </row>
    <row r="216" spans="1:7" s="112" customFormat="1">
      <c r="A216" s="216"/>
      <c r="B216" s="217"/>
      <c r="C216" s="218"/>
      <c r="D216" s="219"/>
      <c r="E216" s="283"/>
      <c r="F216" s="221"/>
      <c r="G216" s="222"/>
    </row>
    <row r="217" spans="1:7" s="112" customFormat="1">
      <c r="A217" s="216"/>
      <c r="B217" s="217"/>
      <c r="C217" s="218"/>
      <c r="D217" s="219"/>
      <c r="E217" s="283"/>
      <c r="F217" s="221"/>
      <c r="G217" s="222"/>
    </row>
    <row r="218" spans="1:7" s="112" customFormat="1">
      <c r="A218" s="216"/>
      <c r="B218" s="217"/>
      <c r="C218" s="218"/>
      <c r="D218" s="219"/>
      <c r="E218" s="283"/>
      <c r="F218" s="221"/>
      <c r="G218" s="222"/>
    </row>
    <row r="219" spans="1:7" s="112" customFormat="1">
      <c r="A219" s="216"/>
      <c r="B219" s="217"/>
      <c r="C219" s="218"/>
      <c r="D219" s="219"/>
      <c r="E219" s="283"/>
      <c r="F219" s="221"/>
      <c r="G219" s="222"/>
    </row>
    <row r="220" spans="1:7" s="112" customFormat="1">
      <c r="A220" s="216"/>
      <c r="B220" s="217"/>
      <c r="C220" s="218"/>
      <c r="D220" s="219"/>
      <c r="E220" s="283"/>
      <c r="F220" s="221"/>
      <c r="G220" s="222"/>
    </row>
    <row r="221" spans="1:7" s="112" customFormat="1">
      <c r="A221" s="216"/>
      <c r="B221" s="217"/>
      <c r="C221" s="218"/>
      <c r="D221" s="219"/>
      <c r="E221" s="283"/>
      <c r="F221" s="221"/>
      <c r="G221" s="222"/>
    </row>
    <row r="222" spans="1:7" s="112" customFormat="1">
      <c r="A222" s="216"/>
      <c r="B222" s="217"/>
      <c r="C222" s="218"/>
      <c r="D222" s="219"/>
      <c r="E222" s="283"/>
      <c r="F222" s="221"/>
      <c r="G222" s="222"/>
    </row>
    <row r="223" spans="1:7" s="112" customFormat="1">
      <c r="A223" s="216"/>
      <c r="B223" s="217"/>
      <c r="C223" s="218"/>
      <c r="D223" s="219"/>
      <c r="E223" s="283"/>
      <c r="F223" s="221"/>
      <c r="G223" s="222"/>
    </row>
    <row r="224" spans="1:7" s="112" customFormat="1">
      <c r="A224" s="216"/>
      <c r="B224" s="217"/>
      <c r="C224" s="218"/>
      <c r="D224" s="219"/>
      <c r="E224" s="283"/>
      <c r="F224" s="221"/>
      <c r="G224" s="222"/>
    </row>
    <row r="225" spans="1:7" s="112" customFormat="1">
      <c r="A225" s="216"/>
      <c r="B225" s="217"/>
      <c r="C225" s="218"/>
      <c r="D225" s="219"/>
      <c r="E225" s="283"/>
      <c r="F225" s="221"/>
      <c r="G225" s="222"/>
    </row>
    <row r="226" spans="1:7" s="112" customFormat="1">
      <c r="A226" s="216"/>
      <c r="B226" s="217"/>
      <c r="C226" s="218"/>
      <c r="D226" s="219"/>
      <c r="E226" s="283"/>
      <c r="F226" s="221"/>
      <c r="G226" s="222"/>
    </row>
    <row r="227" spans="1:7" s="112" customFormat="1">
      <c r="A227" s="216"/>
      <c r="B227" s="217"/>
      <c r="C227" s="218"/>
      <c r="D227" s="219"/>
      <c r="E227" s="283"/>
      <c r="F227" s="221"/>
      <c r="G227" s="222"/>
    </row>
    <row r="228" spans="1:7" s="112" customFormat="1">
      <c r="A228" s="216"/>
      <c r="B228" s="217"/>
      <c r="C228" s="218"/>
      <c r="D228" s="219"/>
      <c r="E228" s="283"/>
      <c r="F228" s="221"/>
      <c r="G228" s="222"/>
    </row>
    <row r="229" spans="1:7" s="112" customFormat="1">
      <c r="A229" s="216"/>
      <c r="B229" s="217"/>
      <c r="C229" s="218"/>
      <c r="D229" s="219"/>
      <c r="E229" s="283"/>
      <c r="F229" s="221"/>
      <c r="G229" s="222"/>
    </row>
    <row r="230" spans="1:7" s="112" customFormat="1">
      <c r="A230" s="216"/>
      <c r="B230" s="217"/>
      <c r="C230" s="218"/>
      <c r="D230" s="219"/>
      <c r="E230" s="283"/>
      <c r="F230" s="221"/>
      <c r="G230" s="222"/>
    </row>
    <row r="231" spans="1:7" s="112" customFormat="1">
      <c r="A231" s="216"/>
      <c r="B231" s="217"/>
      <c r="C231" s="218"/>
      <c r="D231" s="219"/>
      <c r="E231" s="283"/>
      <c r="F231" s="221"/>
      <c r="G231" s="222"/>
    </row>
    <row r="232" spans="1:7" s="112" customFormat="1">
      <c r="A232" s="216"/>
      <c r="B232" s="217"/>
      <c r="C232" s="218"/>
      <c r="D232" s="219"/>
      <c r="E232" s="283"/>
      <c r="F232" s="221"/>
      <c r="G232" s="222"/>
    </row>
    <row r="233" spans="1:7" s="112" customFormat="1">
      <c r="A233" s="216"/>
      <c r="B233" s="217"/>
      <c r="C233" s="218"/>
      <c r="D233" s="219"/>
      <c r="E233" s="283"/>
      <c r="F233" s="221"/>
      <c r="G233" s="222"/>
    </row>
    <row r="234" spans="1:7" s="112" customFormat="1">
      <c r="A234" s="216"/>
      <c r="B234" s="217"/>
      <c r="C234" s="218"/>
      <c r="D234" s="219"/>
      <c r="E234" s="283"/>
      <c r="F234" s="221"/>
      <c r="G234" s="222"/>
    </row>
    <row r="235" spans="1:7" s="112" customFormat="1">
      <c r="A235" s="216"/>
      <c r="B235" s="217"/>
      <c r="C235" s="218"/>
      <c r="D235" s="219"/>
      <c r="E235" s="283"/>
      <c r="F235" s="221"/>
      <c r="G235" s="222"/>
    </row>
    <row r="236" spans="1:7" s="112" customFormat="1">
      <c r="A236" s="216"/>
      <c r="B236" s="217"/>
      <c r="C236" s="218"/>
      <c r="D236" s="219"/>
      <c r="E236" s="283"/>
      <c r="F236" s="221"/>
      <c r="G236" s="222"/>
    </row>
    <row r="237" spans="1:7" s="112" customFormat="1">
      <c r="A237" s="216"/>
      <c r="B237" s="217"/>
      <c r="C237" s="218"/>
      <c r="D237" s="219"/>
      <c r="E237" s="283"/>
      <c r="F237" s="221"/>
      <c r="G237" s="222"/>
    </row>
    <row r="238" spans="1:7" s="112" customFormat="1">
      <c r="A238" s="216"/>
      <c r="B238" s="217"/>
      <c r="C238" s="218"/>
      <c r="D238" s="219"/>
      <c r="E238" s="283"/>
      <c r="F238" s="221"/>
      <c r="G238" s="222"/>
    </row>
    <row r="239" spans="1:7" s="112" customFormat="1">
      <c r="A239" s="216"/>
      <c r="B239" s="217"/>
      <c r="C239" s="218"/>
      <c r="D239" s="219"/>
      <c r="E239" s="283"/>
      <c r="F239" s="221"/>
      <c r="G239" s="222"/>
    </row>
    <row r="240" spans="1:7" s="112" customFormat="1">
      <c r="A240" s="216"/>
      <c r="B240" s="217"/>
      <c r="C240" s="218"/>
      <c r="D240" s="219"/>
      <c r="E240" s="283"/>
      <c r="F240" s="221"/>
      <c r="G240" s="222"/>
    </row>
    <row r="241" spans="1:7" s="112" customFormat="1">
      <c r="A241" s="216"/>
      <c r="B241" s="217"/>
      <c r="C241" s="218"/>
      <c r="D241" s="219"/>
      <c r="E241" s="283"/>
      <c r="F241" s="221"/>
      <c r="G241" s="222"/>
    </row>
    <row r="242" spans="1:7" s="112" customFormat="1">
      <c r="A242" s="216"/>
      <c r="B242" s="217"/>
      <c r="C242" s="218"/>
      <c r="D242" s="219"/>
      <c r="E242" s="283"/>
      <c r="F242" s="221"/>
      <c r="G242" s="222"/>
    </row>
    <row r="243" spans="1:7" s="112" customFormat="1">
      <c r="A243" s="216"/>
      <c r="B243" s="217"/>
      <c r="C243" s="218"/>
      <c r="D243" s="219"/>
      <c r="E243" s="283"/>
      <c r="F243" s="221"/>
      <c r="G243" s="222"/>
    </row>
    <row r="244" spans="1:7" s="112" customFormat="1">
      <c r="A244" s="216"/>
      <c r="B244" s="217"/>
      <c r="C244" s="218"/>
      <c r="D244" s="219"/>
      <c r="E244" s="283"/>
      <c r="F244" s="221"/>
      <c r="G244" s="222"/>
    </row>
    <row r="245" spans="1:7" s="112" customFormat="1">
      <c r="A245" s="216"/>
      <c r="B245" s="217"/>
      <c r="C245" s="218"/>
      <c r="D245" s="219"/>
      <c r="E245" s="283"/>
      <c r="F245" s="221"/>
      <c r="G245" s="222"/>
    </row>
    <row r="246" spans="1:7" s="112" customFormat="1">
      <c r="A246" s="216"/>
      <c r="B246" s="217"/>
      <c r="C246" s="218"/>
      <c r="D246" s="219"/>
      <c r="E246" s="283"/>
      <c r="F246" s="221"/>
      <c r="G246" s="222"/>
    </row>
    <row r="247" spans="1:7" s="112" customFormat="1">
      <c r="A247" s="216"/>
      <c r="B247" s="217"/>
      <c r="C247" s="218"/>
      <c r="D247" s="219"/>
      <c r="E247" s="283"/>
      <c r="F247" s="221"/>
      <c r="G247" s="222"/>
    </row>
    <row r="248" spans="1:7" s="112" customFormat="1">
      <c r="A248" s="216"/>
      <c r="B248" s="217"/>
      <c r="C248" s="218"/>
      <c r="D248" s="219"/>
      <c r="E248" s="283"/>
      <c r="F248" s="221"/>
      <c r="G248" s="222"/>
    </row>
    <row r="249" spans="1:7" s="112" customFormat="1">
      <c r="A249" s="216"/>
      <c r="B249" s="217"/>
      <c r="C249" s="218"/>
      <c r="D249" s="219"/>
      <c r="E249" s="283"/>
      <c r="F249" s="221"/>
      <c r="G249" s="222"/>
    </row>
    <row r="250" spans="1:7" s="112" customFormat="1">
      <c r="A250" s="216"/>
      <c r="B250" s="217"/>
      <c r="C250" s="218"/>
      <c r="D250" s="219"/>
      <c r="E250" s="283"/>
      <c r="F250" s="221"/>
      <c r="G250" s="222"/>
    </row>
    <row r="251" spans="1:7" s="112" customFormat="1">
      <c r="A251" s="216"/>
      <c r="B251" s="217"/>
      <c r="C251" s="218"/>
      <c r="D251" s="219"/>
      <c r="E251" s="283"/>
      <c r="F251" s="221"/>
      <c r="G251" s="222"/>
    </row>
    <row r="252" spans="1:7" s="112" customFormat="1">
      <c r="A252" s="216"/>
      <c r="B252" s="217"/>
      <c r="C252" s="218"/>
      <c r="D252" s="219"/>
      <c r="E252" s="283"/>
      <c r="F252" s="221"/>
      <c r="G252" s="222"/>
    </row>
    <row r="253" spans="1:7" s="112" customFormat="1">
      <c r="A253" s="216"/>
      <c r="B253" s="217"/>
      <c r="C253" s="218"/>
      <c r="D253" s="219"/>
      <c r="E253" s="283"/>
      <c r="F253" s="221"/>
      <c r="G253" s="222"/>
    </row>
    <row r="254" spans="1:7" s="112" customFormat="1">
      <c r="A254" s="216"/>
      <c r="B254" s="217"/>
      <c r="C254" s="218"/>
      <c r="D254" s="219"/>
      <c r="E254" s="283"/>
      <c r="F254" s="221"/>
      <c r="G254" s="222"/>
    </row>
    <row r="255" spans="1:7" s="112" customFormat="1">
      <c r="A255" s="216"/>
      <c r="B255" s="217"/>
      <c r="C255" s="218"/>
      <c r="D255" s="219"/>
      <c r="E255" s="283"/>
      <c r="F255" s="221"/>
      <c r="G255" s="222"/>
    </row>
    <row r="256" spans="1:7" s="112" customFormat="1">
      <c r="A256" s="216"/>
      <c r="B256" s="217"/>
      <c r="C256" s="218"/>
      <c r="D256" s="219"/>
      <c r="E256" s="283"/>
      <c r="F256" s="221"/>
      <c r="G256" s="222"/>
    </row>
    <row r="257" spans="1:7" s="112" customFormat="1">
      <c r="A257" s="216"/>
      <c r="B257" s="217"/>
      <c r="C257" s="218"/>
      <c r="D257" s="219"/>
      <c r="E257" s="283"/>
      <c r="F257" s="221"/>
      <c r="G257" s="222"/>
    </row>
    <row r="258" spans="1:7" s="112" customFormat="1">
      <c r="A258" s="216"/>
      <c r="B258" s="217"/>
      <c r="C258" s="218"/>
      <c r="D258" s="219"/>
      <c r="E258" s="283"/>
      <c r="F258" s="221"/>
      <c r="G258" s="222"/>
    </row>
    <row r="259" spans="1:7" s="112" customFormat="1">
      <c r="A259" s="216"/>
      <c r="B259" s="217"/>
      <c r="C259" s="218"/>
      <c r="D259" s="219"/>
      <c r="E259" s="283"/>
      <c r="F259" s="221"/>
      <c r="G259" s="222"/>
    </row>
    <row r="260" spans="1:7" s="112" customFormat="1">
      <c r="A260" s="216"/>
      <c r="B260" s="217"/>
      <c r="C260" s="218"/>
      <c r="D260" s="219"/>
      <c r="E260" s="283"/>
      <c r="F260" s="221"/>
      <c r="G260" s="222"/>
    </row>
    <row r="261" spans="1:7" s="112" customFormat="1">
      <c r="A261" s="216"/>
      <c r="B261" s="217"/>
      <c r="C261" s="218"/>
      <c r="D261" s="219"/>
      <c r="E261" s="283"/>
      <c r="F261" s="221"/>
      <c r="G261" s="222"/>
    </row>
    <row r="262" spans="1:7" s="112" customFormat="1">
      <c r="A262" s="216"/>
      <c r="B262" s="217"/>
      <c r="C262" s="218"/>
      <c r="D262" s="219"/>
      <c r="E262" s="283"/>
      <c r="F262" s="221"/>
      <c r="G262" s="222"/>
    </row>
    <row r="263" spans="1:7" s="112" customFormat="1">
      <c r="A263" s="216"/>
      <c r="B263" s="217"/>
      <c r="C263" s="218"/>
      <c r="D263" s="219"/>
      <c r="E263" s="283"/>
      <c r="F263" s="221"/>
      <c r="G263" s="222"/>
    </row>
    <row r="264" spans="1:7" s="112" customFormat="1">
      <c r="A264" s="216"/>
      <c r="B264" s="217"/>
      <c r="C264" s="218"/>
      <c r="D264" s="219"/>
      <c r="E264" s="283"/>
      <c r="F264" s="221"/>
      <c r="G264" s="222"/>
    </row>
    <row r="265" spans="1:7" s="112" customFormat="1">
      <c r="A265" s="216"/>
      <c r="B265" s="217"/>
      <c r="C265" s="218"/>
      <c r="D265" s="219"/>
      <c r="E265" s="283"/>
      <c r="F265" s="221"/>
      <c r="G265" s="222"/>
    </row>
    <row r="266" spans="1:7" s="112" customFormat="1">
      <c r="A266" s="216"/>
      <c r="B266" s="217"/>
      <c r="C266" s="218"/>
      <c r="D266" s="219"/>
      <c r="E266" s="283"/>
      <c r="F266" s="221"/>
      <c r="G266" s="222"/>
    </row>
    <row r="267" spans="1:7" s="112" customFormat="1">
      <c r="A267" s="216"/>
      <c r="B267" s="217"/>
      <c r="C267" s="218"/>
      <c r="D267" s="219"/>
      <c r="E267" s="283"/>
      <c r="F267" s="221"/>
      <c r="G267" s="222"/>
    </row>
    <row r="268" spans="1:7" s="112" customFormat="1">
      <c r="A268" s="216"/>
      <c r="B268" s="217"/>
      <c r="C268" s="218"/>
      <c r="D268" s="219"/>
      <c r="E268" s="283"/>
      <c r="F268" s="221"/>
      <c r="G268" s="222"/>
    </row>
    <row r="269" spans="1:7" s="112" customFormat="1">
      <c r="A269" s="216"/>
      <c r="B269" s="217"/>
      <c r="C269" s="218"/>
      <c r="D269" s="219"/>
      <c r="E269" s="283"/>
      <c r="F269" s="221"/>
      <c r="G269" s="222"/>
    </row>
    <row r="270" spans="1:7" s="112" customFormat="1">
      <c r="A270" s="216"/>
      <c r="B270" s="217"/>
      <c r="C270" s="218"/>
      <c r="D270" s="219"/>
      <c r="E270" s="283"/>
      <c r="F270" s="221"/>
      <c r="G270" s="222"/>
    </row>
    <row r="271" spans="1:7" s="112" customFormat="1">
      <c r="A271" s="216"/>
      <c r="B271" s="217"/>
      <c r="C271" s="218"/>
      <c r="D271" s="219"/>
      <c r="E271" s="283"/>
      <c r="F271" s="221"/>
      <c r="G271" s="222"/>
    </row>
    <row r="272" spans="1:7" s="112" customFormat="1">
      <c r="A272" s="216"/>
      <c r="B272" s="217"/>
      <c r="C272" s="218"/>
      <c r="D272" s="219"/>
      <c r="E272" s="283"/>
      <c r="F272" s="221"/>
      <c r="G272" s="222"/>
    </row>
    <row r="273" spans="1:7" s="112" customFormat="1">
      <c r="A273" s="216"/>
      <c r="B273" s="217"/>
      <c r="C273" s="218"/>
      <c r="D273" s="219"/>
      <c r="E273" s="283"/>
      <c r="F273" s="221"/>
      <c r="G273" s="222"/>
    </row>
    <row r="274" spans="1:7" s="112" customFormat="1">
      <c r="A274" s="216"/>
      <c r="B274" s="217"/>
      <c r="C274" s="218"/>
      <c r="D274" s="219"/>
      <c r="E274" s="283"/>
      <c r="F274" s="221"/>
      <c r="G274" s="222"/>
    </row>
    <row r="275" spans="1:7" s="112" customFormat="1">
      <c r="A275" s="216"/>
      <c r="B275" s="217"/>
      <c r="C275" s="218"/>
      <c r="D275" s="219"/>
      <c r="E275" s="283"/>
      <c r="F275" s="221"/>
      <c r="G275" s="222"/>
    </row>
    <row r="276" spans="1:7" s="112" customFormat="1">
      <c r="A276" s="216"/>
      <c r="B276" s="217"/>
      <c r="C276" s="218"/>
      <c r="D276" s="219"/>
      <c r="E276" s="283"/>
      <c r="F276" s="221"/>
      <c r="G276" s="222"/>
    </row>
    <row r="277" spans="1:7" s="112" customFormat="1">
      <c r="A277" s="216"/>
      <c r="B277" s="217"/>
      <c r="C277" s="218"/>
      <c r="D277" s="219"/>
      <c r="E277" s="283"/>
      <c r="F277" s="221"/>
      <c r="G277" s="222"/>
    </row>
    <row r="278" spans="1:7" s="112" customFormat="1">
      <c r="A278" s="216"/>
      <c r="B278" s="217"/>
      <c r="C278" s="218"/>
      <c r="D278" s="219"/>
      <c r="E278" s="283"/>
      <c r="F278" s="221"/>
      <c r="G278" s="222"/>
    </row>
    <row r="279" spans="1:7" s="112" customFormat="1">
      <c r="A279" s="216"/>
      <c r="B279" s="217"/>
      <c r="C279" s="218"/>
      <c r="D279" s="219"/>
      <c r="E279" s="283"/>
      <c r="F279" s="221"/>
      <c r="G279" s="222"/>
    </row>
    <row r="280" spans="1:7" s="112" customFormat="1">
      <c r="A280" s="216"/>
      <c r="B280" s="217"/>
      <c r="C280" s="218"/>
      <c r="D280" s="219"/>
      <c r="E280" s="283"/>
      <c r="F280" s="221"/>
      <c r="G280" s="222"/>
    </row>
    <row r="281" spans="1:7" s="112" customFormat="1">
      <c r="A281" s="216"/>
      <c r="B281" s="217"/>
      <c r="C281" s="218"/>
      <c r="D281" s="219"/>
      <c r="E281" s="283"/>
      <c r="F281" s="221"/>
      <c r="G281" s="222"/>
    </row>
    <row r="282" spans="1:7" s="112" customFormat="1">
      <c r="A282" s="216"/>
      <c r="B282" s="217"/>
      <c r="C282" s="218"/>
      <c r="D282" s="219"/>
      <c r="E282" s="283"/>
      <c r="F282" s="221"/>
      <c r="G282" s="222"/>
    </row>
    <row r="283" spans="1:7" s="112" customFormat="1">
      <c r="A283" s="216"/>
      <c r="B283" s="217"/>
      <c r="C283" s="218"/>
      <c r="D283" s="219"/>
      <c r="E283" s="283"/>
      <c r="F283" s="221"/>
      <c r="G283" s="222"/>
    </row>
    <row r="284" spans="1:7" s="112" customFormat="1">
      <c r="A284" s="216"/>
      <c r="B284" s="217"/>
      <c r="C284" s="218"/>
      <c r="D284" s="219"/>
      <c r="E284" s="283"/>
      <c r="F284" s="221"/>
      <c r="G284" s="222"/>
    </row>
    <row r="285" spans="1:7" s="112" customFormat="1">
      <c r="A285" s="216"/>
      <c r="B285" s="217"/>
      <c r="C285" s="218"/>
      <c r="D285" s="219"/>
      <c r="E285" s="283"/>
      <c r="F285" s="221"/>
      <c r="G285" s="222"/>
    </row>
    <row r="286" spans="1:7" s="112" customFormat="1">
      <c r="A286" s="216"/>
      <c r="B286" s="217"/>
      <c r="C286" s="218"/>
      <c r="D286" s="219"/>
      <c r="E286" s="283"/>
      <c r="F286" s="221"/>
      <c r="G286" s="222"/>
    </row>
    <row r="287" spans="1:7" s="112" customFormat="1">
      <c r="A287" s="216"/>
      <c r="B287" s="217"/>
      <c r="C287" s="218"/>
      <c r="D287" s="219"/>
      <c r="E287" s="283"/>
      <c r="F287" s="221"/>
      <c r="G287" s="222"/>
    </row>
    <row r="288" spans="1:7" s="112" customFormat="1">
      <c r="A288" s="216"/>
      <c r="B288" s="217"/>
      <c r="C288" s="218"/>
      <c r="D288" s="219"/>
      <c r="E288" s="283"/>
      <c r="F288" s="221"/>
      <c r="G288" s="222"/>
    </row>
    <row r="289" spans="1:7" s="112" customFormat="1">
      <c r="A289" s="216"/>
      <c r="B289" s="217"/>
      <c r="C289" s="218"/>
      <c r="D289" s="219"/>
      <c r="E289" s="283"/>
      <c r="F289" s="221"/>
      <c r="G289" s="222"/>
    </row>
    <row r="290" spans="1:7" s="112" customFormat="1">
      <c r="A290" s="216"/>
      <c r="B290" s="217"/>
      <c r="C290" s="218"/>
      <c r="D290" s="219"/>
      <c r="E290" s="283"/>
      <c r="F290" s="221"/>
      <c r="G290" s="222"/>
    </row>
    <row r="291" spans="1:7" s="112" customFormat="1">
      <c r="A291" s="216"/>
      <c r="B291" s="217"/>
      <c r="C291" s="218"/>
      <c r="D291" s="219"/>
      <c r="E291" s="283"/>
      <c r="F291" s="221"/>
      <c r="G291" s="222"/>
    </row>
    <row r="292" spans="1:7" s="112" customFormat="1">
      <c r="A292" s="216"/>
      <c r="B292" s="217"/>
      <c r="C292" s="218"/>
      <c r="D292" s="219"/>
      <c r="E292" s="283"/>
      <c r="F292" s="221"/>
      <c r="G292" s="222"/>
    </row>
    <row r="293" spans="1:7" s="112" customFormat="1">
      <c r="A293" s="216"/>
      <c r="B293" s="217"/>
      <c r="C293" s="218"/>
      <c r="D293" s="219"/>
      <c r="E293" s="283"/>
      <c r="F293" s="221"/>
      <c r="G293" s="222"/>
    </row>
    <row r="294" spans="1:7" s="112" customFormat="1">
      <c r="A294" s="216"/>
      <c r="B294" s="217"/>
      <c r="C294" s="218"/>
      <c r="D294" s="219"/>
      <c r="E294" s="283"/>
      <c r="F294" s="221"/>
      <c r="G294" s="222"/>
    </row>
    <row r="295" spans="1:7" s="112" customFormat="1">
      <c r="A295" s="216"/>
      <c r="B295" s="217"/>
      <c r="C295" s="218"/>
      <c r="D295" s="219"/>
      <c r="E295" s="283"/>
      <c r="F295" s="221"/>
      <c r="G295" s="222"/>
    </row>
    <row r="296" spans="1:7" s="112" customFormat="1">
      <c r="A296" s="216"/>
      <c r="B296" s="217"/>
      <c r="C296" s="218"/>
      <c r="D296" s="219"/>
      <c r="E296" s="283"/>
      <c r="F296" s="221"/>
      <c r="G296" s="222"/>
    </row>
    <row r="297" spans="1:7" s="112" customFormat="1">
      <c r="A297" s="216"/>
      <c r="B297" s="217"/>
      <c r="C297" s="218"/>
      <c r="D297" s="219"/>
      <c r="E297" s="283"/>
      <c r="F297" s="221"/>
      <c r="G297" s="222"/>
    </row>
    <row r="298" spans="1:7" s="112" customFormat="1">
      <c r="A298" s="216"/>
      <c r="B298" s="217"/>
      <c r="C298" s="218"/>
      <c r="D298" s="219"/>
      <c r="E298" s="283"/>
      <c r="F298" s="221"/>
      <c r="G298" s="222"/>
    </row>
    <row r="299" spans="1:7" s="112" customFormat="1">
      <c r="A299" s="216"/>
      <c r="B299" s="217"/>
      <c r="C299" s="218"/>
      <c r="D299" s="219"/>
      <c r="E299" s="283"/>
      <c r="F299" s="221"/>
      <c r="G299" s="222"/>
    </row>
    <row r="300" spans="1:7" s="112" customFormat="1">
      <c r="A300" s="216"/>
      <c r="B300" s="217"/>
      <c r="C300" s="218"/>
      <c r="D300" s="219"/>
      <c r="E300" s="283"/>
      <c r="F300" s="221"/>
      <c r="G300" s="222"/>
    </row>
    <row r="301" spans="1:7" s="112" customFormat="1">
      <c r="A301" s="216"/>
      <c r="B301" s="217"/>
      <c r="C301" s="218"/>
      <c r="D301" s="219"/>
      <c r="E301" s="283"/>
      <c r="F301" s="221"/>
      <c r="G301" s="222"/>
    </row>
    <row r="302" spans="1:7" s="112" customFormat="1">
      <c r="A302" s="216"/>
      <c r="B302" s="217"/>
      <c r="C302" s="218"/>
      <c r="D302" s="219"/>
      <c r="E302" s="283"/>
      <c r="F302" s="221"/>
      <c r="G302" s="222"/>
    </row>
    <row r="303" spans="1:7" s="112" customFormat="1">
      <c r="A303" s="216"/>
      <c r="B303" s="217"/>
      <c r="C303" s="218"/>
      <c r="D303" s="219"/>
      <c r="E303" s="283"/>
      <c r="F303" s="221"/>
      <c r="G303" s="222"/>
    </row>
    <row r="304" spans="1:7" s="112" customFormat="1">
      <c r="A304" s="216"/>
      <c r="B304" s="217"/>
      <c r="C304" s="218"/>
      <c r="D304" s="219"/>
      <c r="E304" s="283"/>
      <c r="F304" s="221"/>
      <c r="G304" s="222"/>
    </row>
    <row r="305" spans="1:7" s="112" customFormat="1">
      <c r="A305" s="216"/>
      <c r="B305" s="217"/>
      <c r="C305" s="218"/>
      <c r="D305" s="219"/>
      <c r="E305" s="283"/>
      <c r="F305" s="221"/>
      <c r="G305" s="222"/>
    </row>
    <row r="306" spans="1:7" s="112" customFormat="1">
      <c r="A306" s="216"/>
      <c r="B306" s="217"/>
      <c r="C306" s="218"/>
      <c r="D306" s="219"/>
      <c r="E306" s="283"/>
      <c r="F306" s="221"/>
      <c r="G306" s="222"/>
    </row>
    <row r="307" spans="1:7" s="112" customFormat="1">
      <c r="A307" s="216"/>
      <c r="B307" s="217"/>
      <c r="C307" s="218"/>
      <c r="D307" s="219"/>
      <c r="E307" s="283"/>
      <c r="F307" s="221"/>
      <c r="G307" s="222"/>
    </row>
    <row r="308" spans="1:7" s="112" customFormat="1">
      <c r="A308" s="216"/>
      <c r="B308" s="217"/>
      <c r="C308" s="218"/>
      <c r="D308" s="219"/>
      <c r="E308" s="283"/>
      <c r="F308" s="221"/>
      <c r="G308" s="222"/>
    </row>
    <row r="309" spans="1:7" s="112" customFormat="1">
      <c r="A309" s="216"/>
      <c r="B309" s="217"/>
      <c r="C309" s="218"/>
      <c r="D309" s="219"/>
      <c r="E309" s="283"/>
      <c r="F309" s="221"/>
      <c r="G309" s="222"/>
    </row>
    <row r="310" spans="1:7" s="112" customFormat="1">
      <c r="A310" s="216"/>
      <c r="B310" s="217"/>
      <c r="C310" s="218"/>
      <c r="D310" s="219"/>
      <c r="E310" s="283"/>
      <c r="F310" s="221"/>
      <c r="G310" s="222"/>
    </row>
    <row r="311" spans="1:7" s="112" customFormat="1">
      <c r="A311" s="216"/>
      <c r="B311" s="217"/>
      <c r="C311" s="218"/>
      <c r="D311" s="219"/>
      <c r="E311" s="283"/>
      <c r="F311" s="221"/>
      <c r="G311" s="222"/>
    </row>
    <row r="312" spans="1:7" s="112" customFormat="1">
      <c r="A312" s="216"/>
      <c r="B312" s="217"/>
      <c r="C312" s="218"/>
      <c r="D312" s="219"/>
      <c r="E312" s="283"/>
      <c r="F312" s="221"/>
      <c r="G312" s="222"/>
    </row>
    <row r="313" spans="1:7" s="112" customFormat="1">
      <c r="A313" s="216"/>
      <c r="B313" s="217"/>
      <c r="C313" s="218"/>
      <c r="D313" s="219"/>
      <c r="E313" s="283"/>
      <c r="F313" s="221"/>
      <c r="G313" s="222"/>
    </row>
    <row r="314" spans="1:7" s="112" customFormat="1">
      <c r="A314" s="216"/>
      <c r="B314" s="217"/>
      <c r="C314" s="218"/>
      <c r="D314" s="219"/>
      <c r="E314" s="283"/>
      <c r="F314" s="221"/>
      <c r="G314" s="222"/>
    </row>
    <row r="315" spans="1:7" s="112" customFormat="1">
      <c r="A315" s="216"/>
      <c r="B315" s="217"/>
      <c r="C315" s="218"/>
      <c r="D315" s="219"/>
      <c r="E315" s="283"/>
      <c r="F315" s="221"/>
      <c r="G315" s="222"/>
    </row>
    <row r="316" spans="1:7" s="112" customFormat="1">
      <c r="A316" s="216"/>
      <c r="B316" s="217"/>
      <c r="C316" s="218"/>
      <c r="D316" s="219"/>
      <c r="E316" s="283"/>
      <c r="F316" s="221"/>
      <c r="G316" s="222"/>
    </row>
    <row r="317" spans="1:7" s="112" customFormat="1">
      <c r="A317" s="216"/>
      <c r="B317" s="217"/>
      <c r="C317" s="218"/>
      <c r="D317" s="219"/>
      <c r="E317" s="283"/>
      <c r="F317" s="221"/>
      <c r="G317" s="222"/>
    </row>
    <row r="318" spans="1:7" s="112" customFormat="1">
      <c r="A318" s="216"/>
      <c r="B318" s="217"/>
      <c r="C318" s="218"/>
      <c r="D318" s="219"/>
      <c r="E318" s="283"/>
      <c r="F318" s="221"/>
      <c r="G318" s="222"/>
    </row>
    <row r="319" spans="1:7" s="112" customFormat="1">
      <c r="A319" s="216"/>
      <c r="B319" s="217"/>
      <c r="C319" s="218"/>
      <c r="D319" s="219"/>
      <c r="E319" s="283"/>
      <c r="F319" s="221"/>
      <c r="G319" s="222"/>
    </row>
    <row r="320" spans="1:7" s="112" customFormat="1">
      <c r="A320" s="216"/>
      <c r="B320" s="217"/>
      <c r="C320" s="218"/>
      <c r="D320" s="219"/>
      <c r="E320" s="283"/>
      <c r="F320" s="221"/>
      <c r="G320" s="222"/>
    </row>
    <row r="321" spans="1:7" s="112" customFormat="1">
      <c r="A321" s="216"/>
      <c r="B321" s="217"/>
      <c r="C321" s="218"/>
      <c r="D321" s="219"/>
      <c r="E321" s="283"/>
      <c r="F321" s="221"/>
      <c r="G321" s="222"/>
    </row>
    <row r="322" spans="1:7" s="112" customFormat="1">
      <c r="A322" s="216"/>
      <c r="B322" s="217"/>
      <c r="C322" s="218"/>
      <c r="D322" s="219"/>
      <c r="E322" s="283"/>
      <c r="F322" s="221"/>
      <c r="G322" s="222"/>
    </row>
    <row r="323" spans="1:7" s="112" customFormat="1">
      <c r="A323" s="216"/>
      <c r="B323" s="217"/>
      <c r="C323" s="218"/>
      <c r="D323" s="219"/>
      <c r="E323" s="283"/>
      <c r="F323" s="221"/>
      <c r="G323" s="222"/>
    </row>
    <row r="324" spans="1:7" s="112" customFormat="1">
      <c r="A324" s="216"/>
      <c r="B324" s="217"/>
      <c r="C324" s="218"/>
      <c r="D324" s="219"/>
      <c r="E324" s="283"/>
      <c r="F324" s="221"/>
      <c r="G324" s="222"/>
    </row>
    <row r="325" spans="1:7" s="112" customFormat="1">
      <c r="A325" s="216"/>
      <c r="B325" s="217"/>
      <c r="C325" s="218"/>
      <c r="D325" s="219"/>
      <c r="E325" s="283"/>
      <c r="F325" s="221"/>
      <c r="G325" s="222"/>
    </row>
    <row r="326" spans="1:7" s="112" customFormat="1">
      <c r="A326" s="216"/>
      <c r="B326" s="217"/>
      <c r="C326" s="218"/>
      <c r="D326" s="219"/>
      <c r="E326" s="283"/>
      <c r="F326" s="221"/>
      <c r="G326" s="222"/>
    </row>
    <row r="327" spans="1:7" s="112" customFormat="1">
      <c r="A327" s="216"/>
      <c r="B327" s="217"/>
      <c r="C327" s="218"/>
      <c r="D327" s="219"/>
      <c r="E327" s="283"/>
      <c r="F327" s="221"/>
      <c r="G327" s="222"/>
    </row>
    <row r="328" spans="1:7" s="112" customFormat="1">
      <c r="A328" s="216"/>
      <c r="B328" s="217"/>
      <c r="C328" s="218"/>
      <c r="D328" s="219"/>
      <c r="E328" s="283"/>
      <c r="F328" s="221"/>
      <c r="G328" s="222"/>
    </row>
    <row r="329" spans="1:7" s="112" customFormat="1">
      <c r="A329" s="216"/>
      <c r="B329" s="217"/>
      <c r="C329" s="218"/>
      <c r="D329" s="219"/>
      <c r="E329" s="283"/>
      <c r="F329" s="221"/>
      <c r="G329" s="222"/>
    </row>
    <row r="330" spans="1:7" s="112" customFormat="1">
      <c r="A330" s="216"/>
      <c r="B330" s="217"/>
      <c r="C330" s="218"/>
      <c r="D330" s="219"/>
      <c r="E330" s="283"/>
      <c r="F330" s="221"/>
      <c r="G330" s="222"/>
    </row>
    <row r="331" spans="1:7" s="112" customFormat="1">
      <c r="A331" s="216"/>
      <c r="B331" s="217"/>
      <c r="C331" s="218"/>
      <c r="D331" s="219"/>
      <c r="E331" s="283"/>
      <c r="F331" s="221"/>
      <c r="G331" s="222"/>
    </row>
    <row r="332" spans="1:7" s="112" customFormat="1">
      <c r="A332" s="216"/>
      <c r="B332" s="217"/>
      <c r="C332" s="218"/>
      <c r="D332" s="219"/>
      <c r="E332" s="283"/>
      <c r="F332" s="221"/>
      <c r="G332" s="222"/>
    </row>
    <row r="333" spans="1:7" s="112" customFormat="1">
      <c r="A333" s="216"/>
      <c r="B333" s="217"/>
      <c r="C333" s="218"/>
      <c r="D333" s="219"/>
      <c r="E333" s="283"/>
      <c r="F333" s="221"/>
      <c r="G333" s="222"/>
    </row>
    <row r="334" spans="1:7" s="112" customFormat="1">
      <c r="A334" s="216"/>
      <c r="B334" s="217"/>
      <c r="C334" s="218"/>
      <c r="D334" s="219"/>
      <c r="E334" s="283"/>
      <c r="F334" s="221"/>
      <c r="G334" s="222"/>
    </row>
    <row r="335" spans="1:7" s="112" customFormat="1">
      <c r="A335" s="216"/>
      <c r="B335" s="217"/>
      <c r="C335" s="218"/>
      <c r="D335" s="219"/>
      <c r="E335" s="283"/>
      <c r="F335" s="221"/>
      <c r="G335" s="222"/>
    </row>
    <row r="336" spans="1:7" s="112" customFormat="1">
      <c r="A336" s="216"/>
      <c r="B336" s="217"/>
      <c r="C336" s="218"/>
      <c r="D336" s="219"/>
      <c r="E336" s="283"/>
      <c r="F336" s="221"/>
      <c r="G336" s="222"/>
    </row>
    <row r="337" spans="1:7" s="112" customFormat="1">
      <c r="A337" s="216"/>
      <c r="B337" s="217"/>
      <c r="C337" s="218"/>
      <c r="D337" s="219"/>
      <c r="E337" s="283"/>
      <c r="F337" s="221"/>
      <c r="G337" s="222"/>
    </row>
    <row r="338" spans="1:7" s="112" customFormat="1">
      <c r="A338" s="216"/>
      <c r="B338" s="217"/>
      <c r="C338" s="218"/>
      <c r="D338" s="219"/>
      <c r="E338" s="283"/>
      <c r="F338" s="221"/>
      <c r="G338" s="222"/>
    </row>
    <row r="339" spans="1:7" s="112" customFormat="1">
      <c r="A339" s="216"/>
      <c r="B339" s="217"/>
      <c r="C339" s="218"/>
      <c r="D339" s="219"/>
      <c r="E339" s="283"/>
      <c r="F339" s="221"/>
      <c r="G339" s="222"/>
    </row>
    <row r="340" spans="1:7" s="112" customFormat="1">
      <c r="A340" s="216"/>
      <c r="B340" s="217"/>
      <c r="C340" s="218"/>
      <c r="D340" s="219"/>
      <c r="E340" s="283"/>
      <c r="F340" s="221"/>
      <c r="G340" s="222"/>
    </row>
    <row r="341" spans="1:7" s="112" customFormat="1">
      <c r="A341" s="216"/>
      <c r="B341" s="217"/>
      <c r="C341" s="218"/>
      <c r="D341" s="219"/>
      <c r="E341" s="283"/>
      <c r="F341" s="221"/>
      <c r="G341" s="222"/>
    </row>
    <row r="342" spans="1:7" s="112" customFormat="1">
      <c r="A342" s="216"/>
      <c r="B342" s="217"/>
      <c r="C342" s="218"/>
      <c r="D342" s="219"/>
      <c r="E342" s="283"/>
      <c r="F342" s="221"/>
      <c r="G342" s="222"/>
    </row>
    <row r="343" spans="1:7" s="112" customFormat="1">
      <c r="A343" s="216"/>
      <c r="B343" s="217"/>
      <c r="C343" s="218"/>
      <c r="D343" s="219"/>
      <c r="E343" s="283"/>
      <c r="F343" s="221"/>
      <c r="G343" s="222"/>
    </row>
    <row r="344" spans="1:7" s="112" customFormat="1">
      <c r="A344" s="216"/>
      <c r="B344" s="217"/>
      <c r="C344" s="218"/>
      <c r="D344" s="219"/>
      <c r="E344" s="283"/>
      <c r="F344" s="221"/>
      <c r="G344" s="222"/>
    </row>
    <row r="345" spans="1:7" s="112" customFormat="1">
      <c r="A345" s="216"/>
      <c r="B345" s="217"/>
      <c r="C345" s="218"/>
      <c r="D345" s="219"/>
      <c r="E345" s="283"/>
      <c r="F345" s="221"/>
      <c r="G345" s="222"/>
    </row>
    <row r="346" spans="1:7" s="112" customFormat="1">
      <c r="A346" s="216"/>
      <c r="B346" s="217"/>
      <c r="C346" s="218"/>
      <c r="D346" s="219"/>
      <c r="E346" s="283"/>
      <c r="F346" s="221"/>
      <c r="G346" s="222"/>
    </row>
    <row r="347" spans="1:7" s="112" customFormat="1">
      <c r="A347" s="216"/>
      <c r="B347" s="217"/>
      <c r="C347" s="218"/>
      <c r="D347" s="219"/>
      <c r="E347" s="283"/>
      <c r="F347" s="221"/>
      <c r="G347" s="222"/>
    </row>
    <row r="348" spans="1:7" s="112" customFormat="1">
      <c r="A348" s="216"/>
      <c r="B348" s="217"/>
      <c r="C348" s="218"/>
      <c r="D348" s="219"/>
      <c r="E348" s="283"/>
      <c r="F348" s="221"/>
      <c r="G348" s="222"/>
    </row>
    <row r="349" spans="1:7" s="112" customFormat="1">
      <c r="A349" s="216"/>
      <c r="B349" s="217"/>
      <c r="C349" s="218"/>
      <c r="D349" s="219"/>
      <c r="E349" s="283"/>
      <c r="F349" s="221"/>
      <c r="G349" s="222"/>
    </row>
    <row r="350" spans="1:7" s="112" customFormat="1">
      <c r="A350" s="216"/>
      <c r="B350" s="217"/>
      <c r="C350" s="218"/>
      <c r="D350" s="219"/>
      <c r="E350" s="283"/>
      <c r="F350" s="221"/>
      <c r="G350" s="222"/>
    </row>
    <row r="351" spans="1:7" s="112" customFormat="1">
      <c r="A351" s="216"/>
      <c r="B351" s="217"/>
      <c r="C351" s="218"/>
      <c r="D351" s="219"/>
      <c r="E351" s="283"/>
      <c r="F351" s="221"/>
      <c r="G351" s="222"/>
    </row>
    <row r="352" spans="1:7" s="112" customFormat="1">
      <c r="A352" s="216"/>
      <c r="B352" s="217"/>
      <c r="C352" s="218"/>
      <c r="D352" s="219"/>
      <c r="E352" s="283"/>
      <c r="F352" s="221"/>
      <c r="G352" s="222"/>
    </row>
    <row r="353" spans="1:7" s="112" customFormat="1">
      <c r="A353" s="216"/>
      <c r="B353" s="217"/>
      <c r="C353" s="218"/>
      <c r="D353" s="219"/>
      <c r="E353" s="283"/>
      <c r="F353" s="221"/>
      <c r="G353" s="222"/>
    </row>
    <row r="354" spans="1:7" s="112" customFormat="1">
      <c r="A354" s="216"/>
      <c r="B354" s="217"/>
      <c r="C354" s="218"/>
      <c r="D354" s="219"/>
      <c r="E354" s="283"/>
      <c r="F354" s="221"/>
      <c r="G354" s="222"/>
    </row>
    <row r="355" spans="1:7" s="112" customFormat="1">
      <c r="A355" s="216"/>
      <c r="B355" s="217"/>
      <c r="C355" s="218"/>
      <c r="D355" s="219"/>
      <c r="E355" s="283"/>
      <c r="F355" s="221"/>
      <c r="G355" s="222"/>
    </row>
    <row r="356" spans="1:7" s="112" customFormat="1">
      <c r="A356" s="216"/>
      <c r="B356" s="217"/>
      <c r="C356" s="218"/>
      <c r="D356" s="219"/>
      <c r="E356" s="283"/>
      <c r="F356" s="221"/>
      <c r="G356" s="222"/>
    </row>
    <row r="357" spans="1:7" s="112" customFormat="1">
      <c r="A357" s="216"/>
      <c r="B357" s="217"/>
      <c r="C357" s="218"/>
      <c r="D357" s="219"/>
      <c r="E357" s="283"/>
      <c r="F357" s="221"/>
      <c r="G357" s="222"/>
    </row>
    <row r="358" spans="1:7" s="112" customFormat="1">
      <c r="A358" s="216"/>
      <c r="B358" s="217"/>
      <c r="C358" s="218"/>
      <c r="D358" s="219"/>
      <c r="E358" s="283"/>
      <c r="F358" s="221"/>
      <c r="G358" s="222"/>
    </row>
    <row r="359" spans="1:7" s="112" customFormat="1">
      <c r="A359" s="216"/>
      <c r="B359" s="217"/>
      <c r="C359" s="218"/>
      <c r="D359" s="219"/>
      <c r="E359" s="283"/>
      <c r="F359" s="221"/>
      <c r="G359" s="222"/>
    </row>
    <row r="360" spans="1:7" s="112" customFormat="1">
      <c r="A360" s="216"/>
      <c r="B360" s="217"/>
      <c r="C360" s="218"/>
      <c r="D360" s="219"/>
      <c r="E360" s="283"/>
      <c r="F360" s="221"/>
      <c r="G360" s="222"/>
    </row>
    <row r="361" spans="1:7" s="112" customFormat="1">
      <c r="A361" s="216"/>
      <c r="B361" s="217"/>
      <c r="C361" s="218"/>
      <c r="D361" s="219"/>
      <c r="E361" s="283"/>
      <c r="F361" s="221"/>
      <c r="G361" s="222"/>
    </row>
    <row r="362" spans="1:7" s="112" customFormat="1">
      <c r="A362" s="216"/>
      <c r="B362" s="217"/>
      <c r="C362" s="218"/>
      <c r="D362" s="219"/>
      <c r="E362" s="283"/>
      <c r="F362" s="221"/>
      <c r="G362" s="222"/>
    </row>
    <row r="363" spans="1:7" s="112" customFormat="1">
      <c r="A363" s="216"/>
      <c r="B363" s="217"/>
      <c r="C363" s="218"/>
      <c r="D363" s="219"/>
      <c r="E363" s="283"/>
      <c r="F363" s="221"/>
      <c r="G363" s="222"/>
    </row>
    <row r="364" spans="1:7" s="112" customFormat="1">
      <c r="A364" s="216"/>
      <c r="B364" s="217"/>
      <c r="C364" s="218"/>
      <c r="D364" s="219"/>
      <c r="E364" s="283"/>
      <c r="F364" s="221"/>
      <c r="G364" s="222"/>
    </row>
    <row r="365" spans="1:7" s="112" customFormat="1">
      <c r="A365" s="216"/>
      <c r="B365" s="217"/>
      <c r="C365" s="218"/>
      <c r="D365" s="219"/>
      <c r="E365" s="283"/>
      <c r="F365" s="221"/>
      <c r="G365" s="222"/>
    </row>
    <row r="366" spans="1:7" s="112" customFormat="1">
      <c r="A366" s="216"/>
      <c r="B366" s="217"/>
      <c r="C366" s="218"/>
      <c r="D366" s="219"/>
      <c r="E366" s="283"/>
      <c r="F366" s="221"/>
      <c r="G366" s="222"/>
    </row>
    <row r="367" spans="1:7" s="112" customFormat="1">
      <c r="A367" s="216"/>
      <c r="B367" s="217"/>
      <c r="C367" s="218"/>
      <c r="D367" s="219"/>
      <c r="E367" s="283"/>
      <c r="F367" s="221"/>
      <c r="G367" s="222"/>
    </row>
    <row r="368" spans="1:7" s="112" customFormat="1">
      <c r="A368" s="216"/>
      <c r="B368" s="217"/>
      <c r="C368" s="218"/>
      <c r="D368" s="219"/>
      <c r="E368" s="283"/>
      <c r="F368" s="221"/>
      <c r="G368" s="222"/>
    </row>
    <row r="369" spans="1:7" s="112" customFormat="1">
      <c r="A369" s="216"/>
      <c r="B369" s="217"/>
      <c r="C369" s="218"/>
      <c r="D369" s="219"/>
      <c r="E369" s="283"/>
      <c r="F369" s="221"/>
      <c r="G369" s="222"/>
    </row>
    <row r="370" spans="1:7" s="112" customFormat="1">
      <c r="A370" s="216"/>
      <c r="B370" s="217"/>
      <c r="C370" s="218"/>
      <c r="D370" s="219"/>
      <c r="E370" s="283"/>
      <c r="F370" s="221"/>
      <c r="G370" s="222"/>
    </row>
    <row r="371" spans="1:7" s="112" customFormat="1">
      <c r="A371" s="216"/>
      <c r="B371" s="217"/>
      <c r="C371" s="218"/>
      <c r="D371" s="219"/>
      <c r="E371" s="283"/>
      <c r="F371" s="221"/>
      <c r="G371" s="222"/>
    </row>
    <row r="372" spans="1:7" s="112" customFormat="1">
      <c r="A372" s="216"/>
      <c r="B372" s="217"/>
      <c r="C372" s="218"/>
      <c r="D372" s="219"/>
      <c r="E372" s="283"/>
      <c r="F372" s="221"/>
      <c r="G372" s="222"/>
    </row>
    <row r="373" spans="1:7" s="112" customFormat="1">
      <c r="A373" s="216"/>
      <c r="B373" s="217"/>
      <c r="C373" s="218"/>
      <c r="D373" s="219"/>
      <c r="E373" s="283"/>
      <c r="F373" s="221"/>
      <c r="G373" s="222"/>
    </row>
    <row r="374" spans="1:7" s="112" customFormat="1">
      <c r="A374" s="216"/>
      <c r="B374" s="217"/>
      <c r="C374" s="218"/>
      <c r="D374" s="219"/>
      <c r="E374" s="283"/>
      <c r="F374" s="221"/>
      <c r="G374" s="222"/>
    </row>
    <row r="375" spans="1:7" s="112" customFormat="1">
      <c r="A375" s="216"/>
      <c r="B375" s="217"/>
      <c r="C375" s="218"/>
      <c r="D375" s="219"/>
      <c r="E375" s="283"/>
      <c r="F375" s="221"/>
      <c r="G375" s="222"/>
    </row>
    <row r="376" spans="1:7" s="112" customFormat="1">
      <c r="A376" s="216"/>
      <c r="B376" s="217"/>
      <c r="C376" s="218"/>
      <c r="D376" s="219"/>
      <c r="E376" s="283"/>
      <c r="F376" s="221"/>
      <c r="G376" s="222"/>
    </row>
    <row r="377" spans="1:7" s="112" customFormat="1">
      <c r="A377" s="216"/>
      <c r="B377" s="217"/>
      <c r="C377" s="218"/>
      <c r="D377" s="219"/>
      <c r="E377" s="283"/>
      <c r="F377" s="221"/>
      <c r="G377" s="222"/>
    </row>
    <row r="378" spans="1:7" s="112" customFormat="1">
      <c r="A378" s="216"/>
      <c r="B378" s="217"/>
      <c r="C378" s="218"/>
      <c r="D378" s="219"/>
      <c r="E378" s="283"/>
      <c r="F378" s="221"/>
      <c r="G378" s="222"/>
    </row>
    <row r="379" spans="1:7" s="112" customFormat="1">
      <c r="A379" s="216"/>
      <c r="B379" s="217"/>
      <c r="C379" s="218"/>
      <c r="D379" s="219"/>
      <c r="E379" s="283"/>
      <c r="F379" s="221"/>
      <c r="G379" s="222"/>
    </row>
    <row r="380" spans="1:7" s="112" customFormat="1">
      <c r="A380" s="216"/>
      <c r="B380" s="217"/>
      <c r="C380" s="218"/>
      <c r="D380" s="219"/>
      <c r="E380" s="283"/>
      <c r="F380" s="221"/>
      <c r="G380" s="222"/>
    </row>
    <row r="381" spans="1:7" s="112" customFormat="1">
      <c r="A381" s="216"/>
      <c r="B381" s="217"/>
      <c r="C381" s="218"/>
      <c r="D381" s="219"/>
      <c r="E381" s="283"/>
      <c r="F381" s="221"/>
      <c r="G381" s="222"/>
    </row>
    <row r="382" spans="1:7" s="112" customFormat="1">
      <c r="A382" s="216"/>
      <c r="B382" s="217"/>
      <c r="C382" s="218"/>
      <c r="D382" s="219"/>
      <c r="E382" s="283"/>
      <c r="F382" s="221"/>
      <c r="G382" s="222"/>
    </row>
    <row r="383" spans="1:7" s="112" customFormat="1">
      <c r="A383" s="216"/>
      <c r="B383" s="217"/>
      <c r="C383" s="218"/>
      <c r="D383" s="219"/>
      <c r="E383" s="283"/>
      <c r="F383" s="221"/>
      <c r="G383" s="222"/>
    </row>
    <row r="384" spans="1:7" s="112" customFormat="1">
      <c r="A384" s="216"/>
      <c r="B384" s="217"/>
      <c r="C384" s="218"/>
      <c r="D384" s="219"/>
      <c r="E384" s="283"/>
      <c r="F384" s="221"/>
      <c r="G384" s="222"/>
    </row>
    <row r="385" spans="1:7" s="112" customFormat="1">
      <c r="A385" s="216"/>
      <c r="B385" s="217"/>
      <c r="C385" s="218"/>
      <c r="D385" s="219"/>
      <c r="E385" s="283"/>
      <c r="F385" s="221"/>
      <c r="G385" s="222"/>
    </row>
    <row r="386" spans="1:7" s="112" customFormat="1">
      <c r="A386" s="216"/>
      <c r="B386" s="217"/>
      <c r="C386" s="218"/>
      <c r="D386" s="219"/>
      <c r="E386" s="283"/>
      <c r="F386" s="221"/>
      <c r="G386" s="222"/>
    </row>
    <row r="387" spans="1:7" s="112" customFormat="1">
      <c r="A387" s="216"/>
      <c r="B387" s="217"/>
      <c r="C387" s="218"/>
      <c r="D387" s="219"/>
      <c r="E387" s="283"/>
      <c r="F387" s="221"/>
      <c r="G387" s="222"/>
    </row>
    <row r="388" spans="1:7" s="112" customFormat="1">
      <c r="A388" s="216"/>
      <c r="B388" s="217"/>
      <c r="C388" s="218"/>
      <c r="D388" s="219"/>
      <c r="E388" s="283"/>
      <c r="F388" s="221"/>
      <c r="G388" s="222"/>
    </row>
    <row r="389" spans="1:7" s="112" customFormat="1">
      <c r="A389" s="216"/>
      <c r="B389" s="217"/>
      <c r="C389" s="218"/>
      <c r="D389" s="219"/>
      <c r="E389" s="283"/>
      <c r="F389" s="221"/>
      <c r="G389" s="222"/>
    </row>
    <row r="390" spans="1:7" s="112" customFormat="1">
      <c r="A390" s="216"/>
      <c r="B390" s="217"/>
      <c r="C390" s="218"/>
      <c r="D390" s="219"/>
      <c r="E390" s="283"/>
      <c r="F390" s="221"/>
      <c r="G390" s="222"/>
    </row>
    <row r="391" spans="1:7" s="112" customFormat="1">
      <c r="A391" s="216"/>
      <c r="B391" s="217"/>
      <c r="C391" s="218"/>
      <c r="D391" s="219"/>
      <c r="E391" s="283"/>
      <c r="F391" s="221"/>
      <c r="G391" s="222"/>
    </row>
    <row r="392" spans="1:7" s="112" customFormat="1">
      <c r="A392" s="216"/>
      <c r="B392" s="217"/>
      <c r="C392" s="218"/>
      <c r="D392" s="219"/>
      <c r="E392" s="283"/>
      <c r="F392" s="221"/>
      <c r="G392" s="222"/>
    </row>
    <row r="393" spans="1:7" s="112" customFormat="1">
      <c r="A393" s="216"/>
      <c r="B393" s="217"/>
      <c r="C393" s="218"/>
      <c r="D393" s="219"/>
      <c r="E393" s="283"/>
      <c r="F393" s="221"/>
      <c r="G393" s="222"/>
    </row>
    <row r="394" spans="1:7" s="112" customFormat="1">
      <c r="A394" s="216"/>
      <c r="B394" s="217"/>
      <c r="C394" s="218"/>
      <c r="D394" s="219"/>
      <c r="E394" s="283"/>
      <c r="F394" s="221"/>
      <c r="G394" s="222"/>
    </row>
    <row r="395" spans="1:7" s="112" customFormat="1">
      <c r="A395" s="216"/>
      <c r="B395" s="217"/>
      <c r="C395" s="218"/>
      <c r="D395" s="219"/>
      <c r="E395" s="283"/>
      <c r="F395" s="221"/>
      <c r="G395" s="222"/>
    </row>
    <row r="396" spans="1:7" s="112" customFormat="1">
      <c r="A396" s="216"/>
      <c r="B396" s="217"/>
      <c r="C396" s="218"/>
      <c r="D396" s="219"/>
      <c r="E396" s="283"/>
      <c r="F396" s="221"/>
      <c r="G396" s="222"/>
    </row>
    <row r="397" spans="1:7" s="112" customFormat="1">
      <c r="A397" s="216"/>
      <c r="B397" s="217"/>
      <c r="C397" s="218"/>
      <c r="D397" s="219"/>
      <c r="E397" s="283"/>
      <c r="F397" s="221"/>
      <c r="G397" s="222"/>
    </row>
    <row r="398" spans="1:7" s="112" customFormat="1">
      <c r="A398" s="216"/>
      <c r="B398" s="217"/>
      <c r="C398" s="218"/>
      <c r="D398" s="219"/>
      <c r="E398" s="283"/>
      <c r="F398" s="221"/>
      <c r="G398" s="222"/>
    </row>
    <row r="399" spans="1:7" s="112" customFormat="1">
      <c r="A399" s="216"/>
      <c r="B399" s="217"/>
      <c r="C399" s="218"/>
      <c r="D399" s="219"/>
      <c r="E399" s="283"/>
      <c r="F399" s="221"/>
      <c r="G399" s="222"/>
    </row>
    <row r="400" spans="1:7" s="112" customFormat="1">
      <c r="A400" s="216"/>
      <c r="B400" s="217"/>
      <c r="C400" s="218"/>
      <c r="D400" s="219"/>
      <c r="E400" s="283"/>
      <c r="F400" s="221"/>
      <c r="G400" s="222"/>
    </row>
    <row r="401" spans="1:7" s="112" customFormat="1">
      <c r="A401" s="216"/>
      <c r="B401" s="217"/>
      <c r="C401" s="218"/>
      <c r="D401" s="219"/>
      <c r="E401" s="283"/>
      <c r="F401" s="221"/>
      <c r="G401" s="222"/>
    </row>
    <row r="402" spans="1:7" s="112" customFormat="1">
      <c r="A402" s="216"/>
      <c r="B402" s="217"/>
      <c r="C402" s="218"/>
      <c r="D402" s="219"/>
      <c r="E402" s="283"/>
      <c r="F402" s="221"/>
      <c r="G402" s="222"/>
    </row>
    <row r="403" spans="1:7" s="112" customFormat="1">
      <c r="A403" s="216"/>
      <c r="B403" s="217"/>
      <c r="C403" s="218"/>
      <c r="D403" s="219"/>
      <c r="E403" s="283"/>
      <c r="F403" s="221"/>
      <c r="G403" s="222"/>
    </row>
    <row r="404" spans="1:7" s="112" customFormat="1">
      <c r="A404" s="216"/>
      <c r="B404" s="217"/>
      <c r="C404" s="218"/>
      <c r="D404" s="219"/>
      <c r="E404" s="283"/>
      <c r="F404" s="221"/>
      <c r="G404" s="222"/>
    </row>
    <row r="405" spans="1:7" s="112" customFormat="1">
      <c r="A405" s="216"/>
      <c r="B405" s="217"/>
      <c r="C405" s="218"/>
      <c r="D405" s="219"/>
      <c r="E405" s="283"/>
      <c r="F405" s="221"/>
      <c r="G405" s="222"/>
    </row>
    <row r="406" spans="1:7" s="112" customFormat="1">
      <c r="A406" s="216"/>
      <c r="B406" s="217"/>
      <c r="C406" s="218"/>
      <c r="D406" s="219"/>
      <c r="E406" s="283"/>
      <c r="F406" s="221"/>
      <c r="G406" s="222"/>
    </row>
    <row r="407" spans="1:7" s="112" customFormat="1">
      <c r="A407" s="216"/>
      <c r="B407" s="217"/>
      <c r="C407" s="218"/>
      <c r="D407" s="219"/>
      <c r="E407" s="283"/>
      <c r="F407" s="221"/>
      <c r="G407" s="222"/>
    </row>
    <row r="408" spans="1:7" s="112" customFormat="1">
      <c r="A408" s="216"/>
      <c r="B408" s="217"/>
      <c r="C408" s="218"/>
      <c r="D408" s="219"/>
      <c r="E408" s="283"/>
      <c r="F408" s="221"/>
      <c r="G408" s="222"/>
    </row>
    <row r="409" spans="1:7" s="112" customFormat="1">
      <c r="A409" s="216"/>
      <c r="B409" s="217"/>
      <c r="C409" s="218"/>
      <c r="D409" s="219"/>
      <c r="E409" s="283"/>
      <c r="F409" s="221"/>
      <c r="G409" s="222"/>
    </row>
    <row r="410" spans="1:7" s="112" customFormat="1">
      <c r="A410" s="216"/>
      <c r="B410" s="217"/>
      <c r="C410" s="218"/>
      <c r="D410" s="219"/>
      <c r="E410" s="283"/>
      <c r="F410" s="221"/>
      <c r="G410" s="222"/>
    </row>
    <row r="411" spans="1:7" s="112" customFormat="1">
      <c r="A411" s="216"/>
      <c r="B411" s="217"/>
      <c r="C411" s="218"/>
      <c r="D411" s="219"/>
      <c r="E411" s="283"/>
      <c r="F411" s="221"/>
      <c r="G411" s="222"/>
    </row>
    <row r="412" spans="1:7" s="112" customFormat="1">
      <c r="A412" s="216"/>
      <c r="B412" s="217"/>
      <c r="C412" s="218"/>
      <c r="D412" s="219"/>
      <c r="E412" s="283"/>
      <c r="F412" s="221"/>
      <c r="G412" s="222"/>
    </row>
    <row r="413" spans="1:7" s="112" customFormat="1">
      <c r="A413" s="216"/>
      <c r="B413" s="217"/>
      <c r="C413" s="218"/>
      <c r="D413" s="219"/>
      <c r="E413" s="283"/>
      <c r="F413" s="221"/>
      <c r="G413" s="222"/>
    </row>
    <row r="414" spans="1:7" s="112" customFormat="1">
      <c r="A414" s="216"/>
      <c r="B414" s="217"/>
      <c r="C414" s="218"/>
      <c r="D414" s="219"/>
      <c r="E414" s="283"/>
      <c r="F414" s="221"/>
      <c r="G414" s="222"/>
    </row>
    <row r="415" spans="1:7" s="112" customFormat="1">
      <c r="A415" s="216"/>
      <c r="B415" s="217"/>
      <c r="C415" s="218"/>
      <c r="D415" s="219"/>
      <c r="E415" s="283"/>
      <c r="F415" s="221"/>
      <c r="G415" s="222"/>
    </row>
    <row r="416" spans="1:7" s="112" customFormat="1">
      <c r="A416" s="216"/>
      <c r="B416" s="217"/>
      <c r="C416" s="218"/>
      <c r="D416" s="219"/>
      <c r="E416" s="283"/>
      <c r="F416" s="221"/>
      <c r="G416" s="222"/>
    </row>
    <row r="417" spans="1:7" s="112" customFormat="1">
      <c r="A417" s="216"/>
      <c r="B417" s="217"/>
      <c r="C417" s="218"/>
      <c r="D417" s="219"/>
      <c r="E417" s="283"/>
      <c r="F417" s="221"/>
      <c r="G417" s="222"/>
    </row>
    <row r="418" spans="1:7" s="112" customFormat="1">
      <c r="A418" s="216"/>
      <c r="B418" s="217"/>
      <c r="C418" s="218"/>
      <c r="D418" s="219"/>
      <c r="E418" s="283"/>
      <c r="F418" s="221"/>
      <c r="G418" s="222"/>
    </row>
    <row r="419" spans="1:7" s="112" customFormat="1">
      <c r="A419" s="216"/>
      <c r="B419" s="217"/>
      <c r="C419" s="218"/>
      <c r="D419" s="219"/>
      <c r="E419" s="283"/>
      <c r="F419" s="221"/>
      <c r="G419" s="222"/>
    </row>
    <row r="420" spans="1:7" s="112" customFormat="1">
      <c r="A420" s="216"/>
      <c r="B420" s="217"/>
      <c r="C420" s="218"/>
      <c r="D420" s="219"/>
      <c r="E420" s="283"/>
      <c r="F420" s="221"/>
      <c r="G420" s="222"/>
    </row>
    <row r="421" spans="1:7" s="112" customFormat="1">
      <c r="A421" s="216"/>
      <c r="B421" s="217"/>
      <c r="C421" s="218"/>
      <c r="D421" s="219"/>
      <c r="E421" s="283"/>
      <c r="F421" s="221"/>
      <c r="G421" s="222"/>
    </row>
    <row r="422" spans="1:7" s="112" customFormat="1">
      <c r="A422" s="216"/>
      <c r="B422" s="217"/>
      <c r="C422" s="218"/>
      <c r="D422" s="219"/>
      <c r="E422" s="283"/>
      <c r="F422" s="221"/>
      <c r="G422" s="222"/>
    </row>
    <row r="423" spans="1:7" s="112" customFormat="1">
      <c r="A423" s="216"/>
      <c r="B423" s="217"/>
      <c r="C423" s="218"/>
      <c r="D423" s="219"/>
      <c r="E423" s="283"/>
      <c r="F423" s="221"/>
      <c r="G423" s="222"/>
    </row>
    <row r="424" spans="1:7" s="112" customFormat="1">
      <c r="A424" s="216"/>
      <c r="B424" s="217"/>
      <c r="C424" s="218"/>
      <c r="D424" s="219"/>
      <c r="E424" s="283"/>
      <c r="F424" s="221"/>
      <c r="G424" s="222"/>
    </row>
    <row r="425" spans="1:7" s="112" customFormat="1">
      <c r="A425" s="216"/>
      <c r="B425" s="217"/>
      <c r="C425" s="218"/>
      <c r="D425" s="219"/>
      <c r="E425" s="283"/>
      <c r="F425" s="221"/>
      <c r="G425" s="222"/>
    </row>
    <row r="426" spans="1:7" s="112" customFormat="1">
      <c r="A426" s="216"/>
      <c r="B426" s="217"/>
      <c r="C426" s="218"/>
      <c r="D426" s="219"/>
      <c r="E426" s="283"/>
      <c r="F426" s="221"/>
      <c r="G426" s="222"/>
    </row>
    <row r="427" spans="1:7" s="112" customFormat="1">
      <c r="A427" s="216"/>
      <c r="B427" s="217"/>
      <c r="C427" s="218"/>
      <c r="D427" s="219"/>
      <c r="E427" s="283"/>
      <c r="F427" s="221"/>
      <c r="G427" s="222"/>
    </row>
    <row r="428" spans="1:7" s="112" customFormat="1">
      <c r="A428" s="216"/>
      <c r="B428" s="217"/>
      <c r="C428" s="218"/>
      <c r="D428" s="219"/>
      <c r="E428" s="283"/>
      <c r="F428" s="221"/>
      <c r="G428" s="222"/>
    </row>
    <row r="429" spans="1:7" s="112" customFormat="1">
      <c r="A429" s="216"/>
      <c r="B429" s="217"/>
      <c r="C429" s="218"/>
      <c r="D429" s="219"/>
      <c r="E429" s="283"/>
      <c r="F429" s="221"/>
      <c r="G429" s="222"/>
    </row>
    <row r="430" spans="1:7" s="112" customFormat="1">
      <c r="A430" s="216"/>
      <c r="B430" s="217"/>
      <c r="C430" s="218"/>
      <c r="D430" s="219"/>
      <c r="E430" s="283"/>
      <c r="F430" s="221"/>
      <c r="G430" s="222"/>
    </row>
    <row r="431" spans="1:7" s="112" customFormat="1">
      <c r="A431" s="216"/>
      <c r="B431" s="217"/>
      <c r="C431" s="218"/>
      <c r="D431" s="219"/>
      <c r="E431" s="283"/>
      <c r="F431" s="221"/>
      <c r="G431" s="222"/>
    </row>
    <row r="432" spans="1:7" s="112" customFormat="1">
      <c r="A432" s="216"/>
      <c r="B432" s="217"/>
      <c r="C432" s="218"/>
      <c r="D432" s="219"/>
      <c r="E432" s="283"/>
      <c r="F432" s="221"/>
      <c r="G432" s="222"/>
    </row>
    <row r="433" spans="1:7" s="112" customFormat="1">
      <c r="A433" s="216"/>
      <c r="B433" s="217"/>
      <c r="C433" s="218"/>
      <c r="D433" s="219"/>
      <c r="E433" s="283"/>
      <c r="F433" s="221"/>
      <c r="G433" s="222"/>
    </row>
    <row r="434" spans="1:7" s="112" customFormat="1">
      <c r="A434" s="216"/>
      <c r="B434" s="217"/>
      <c r="C434" s="218"/>
      <c r="D434" s="219"/>
      <c r="E434" s="283"/>
      <c r="F434" s="221"/>
      <c r="G434" s="222"/>
    </row>
    <row r="435" spans="1:7" s="112" customFormat="1">
      <c r="A435" s="216"/>
      <c r="B435" s="217"/>
      <c r="C435" s="218"/>
      <c r="D435" s="219"/>
      <c r="E435" s="283"/>
      <c r="F435" s="221"/>
      <c r="G435" s="222"/>
    </row>
    <row r="436" spans="1:7" s="112" customFormat="1">
      <c r="A436" s="216"/>
      <c r="B436" s="217"/>
      <c r="C436" s="218"/>
      <c r="D436" s="219"/>
      <c r="E436" s="283"/>
      <c r="F436" s="221"/>
      <c r="G436" s="222"/>
    </row>
    <row r="437" spans="1:7" s="112" customFormat="1">
      <c r="A437" s="216"/>
      <c r="B437" s="217"/>
      <c r="C437" s="218"/>
      <c r="D437" s="219"/>
      <c r="E437" s="283"/>
      <c r="F437" s="221"/>
      <c r="G437" s="222"/>
    </row>
    <row r="438" spans="1:7" s="112" customFormat="1">
      <c r="A438" s="216"/>
      <c r="B438" s="217"/>
      <c r="C438" s="218"/>
      <c r="D438" s="219"/>
      <c r="E438" s="283"/>
      <c r="F438" s="221"/>
      <c r="G438" s="222"/>
    </row>
    <row r="439" spans="1:7" s="112" customFormat="1">
      <c r="A439" s="216"/>
      <c r="B439" s="217"/>
      <c r="C439" s="218"/>
      <c r="D439" s="219"/>
      <c r="E439" s="283"/>
      <c r="F439" s="221"/>
      <c r="G439" s="222"/>
    </row>
    <row r="440" spans="1:7" s="112" customFormat="1">
      <c r="A440" s="216"/>
      <c r="B440" s="217"/>
      <c r="C440" s="218"/>
      <c r="D440" s="219"/>
      <c r="E440" s="283"/>
      <c r="F440" s="221"/>
      <c r="G440" s="222"/>
    </row>
    <row r="441" spans="1:7" s="112" customFormat="1">
      <c r="A441" s="216"/>
      <c r="B441" s="217"/>
      <c r="C441" s="218"/>
      <c r="D441" s="219"/>
      <c r="E441" s="283"/>
      <c r="F441" s="221"/>
      <c r="G441" s="222"/>
    </row>
    <row r="442" spans="1:7" s="112" customFormat="1">
      <c r="A442" s="216"/>
      <c r="B442" s="217"/>
      <c r="C442" s="218"/>
      <c r="D442" s="219"/>
      <c r="E442" s="283"/>
      <c r="F442" s="221"/>
      <c r="G442" s="222"/>
    </row>
    <row r="443" spans="1:7" s="112" customFormat="1">
      <c r="A443" s="216"/>
      <c r="B443" s="217"/>
      <c r="C443" s="218"/>
      <c r="D443" s="219"/>
      <c r="E443" s="283"/>
      <c r="F443" s="221"/>
      <c r="G443" s="222"/>
    </row>
    <row r="444" spans="1:7" s="112" customFormat="1">
      <c r="A444" s="216"/>
      <c r="B444" s="217"/>
      <c r="C444" s="218"/>
      <c r="D444" s="219"/>
      <c r="E444" s="283"/>
      <c r="F444" s="221"/>
      <c r="G444" s="222"/>
    </row>
    <row r="445" spans="1:7" s="112" customFormat="1">
      <c r="A445" s="216"/>
      <c r="B445" s="217"/>
      <c r="C445" s="218"/>
      <c r="D445" s="219"/>
      <c r="E445" s="283"/>
      <c r="F445" s="221"/>
      <c r="G445" s="222"/>
    </row>
    <row r="446" spans="1:7" s="112" customFormat="1">
      <c r="A446" s="216"/>
      <c r="B446" s="217"/>
      <c r="C446" s="218"/>
      <c r="D446" s="219"/>
      <c r="E446" s="283"/>
      <c r="F446" s="221"/>
      <c r="G446" s="222"/>
    </row>
    <row r="447" spans="1:7" s="112" customFormat="1">
      <c r="A447" s="216"/>
      <c r="B447" s="217"/>
      <c r="C447" s="218"/>
      <c r="D447" s="219"/>
      <c r="E447" s="283"/>
      <c r="F447" s="221"/>
      <c r="G447" s="222"/>
    </row>
    <row r="448" spans="1:7" s="112" customFormat="1">
      <c r="A448" s="216"/>
      <c r="B448" s="217"/>
      <c r="C448" s="218"/>
      <c r="D448" s="219"/>
      <c r="E448" s="283"/>
      <c r="F448" s="221"/>
      <c r="G448" s="222"/>
    </row>
    <row r="449" spans="1:7" s="112" customFormat="1">
      <c r="A449" s="216"/>
      <c r="B449" s="217"/>
      <c r="C449" s="218"/>
      <c r="D449" s="219"/>
      <c r="E449" s="283"/>
      <c r="F449" s="221"/>
      <c r="G449" s="222"/>
    </row>
    <row r="450" spans="1:7" s="112" customFormat="1">
      <c r="A450" s="216"/>
      <c r="B450" s="217"/>
      <c r="C450" s="218"/>
      <c r="D450" s="219"/>
      <c r="E450" s="283"/>
      <c r="F450" s="221"/>
      <c r="G450" s="222"/>
    </row>
    <row r="451" spans="1:7" s="112" customFormat="1">
      <c r="A451" s="216"/>
      <c r="B451" s="217"/>
      <c r="C451" s="218"/>
      <c r="D451" s="219"/>
      <c r="E451" s="283"/>
      <c r="F451" s="221"/>
      <c r="G451" s="222"/>
    </row>
    <row r="452" spans="1:7" s="112" customFormat="1">
      <c r="A452" s="216"/>
      <c r="B452" s="217"/>
      <c r="C452" s="218"/>
      <c r="D452" s="219"/>
      <c r="E452" s="283"/>
      <c r="F452" s="221"/>
      <c r="G452" s="222"/>
    </row>
    <row r="453" spans="1:7" s="112" customFormat="1">
      <c r="A453" s="216"/>
      <c r="B453" s="217"/>
      <c r="C453" s="218"/>
      <c r="D453" s="219"/>
      <c r="E453" s="283"/>
      <c r="F453" s="221"/>
      <c r="G453" s="222"/>
    </row>
    <row r="454" spans="1:7" s="112" customFormat="1">
      <c r="A454" s="216"/>
      <c r="B454" s="217"/>
      <c r="C454" s="218"/>
      <c r="D454" s="219"/>
      <c r="E454" s="283"/>
      <c r="F454" s="221"/>
      <c r="G454" s="222"/>
    </row>
    <row r="455" spans="1:7" s="112" customFormat="1">
      <c r="A455" s="216"/>
      <c r="B455" s="217"/>
      <c r="C455" s="218"/>
      <c r="D455" s="219"/>
      <c r="E455" s="283"/>
      <c r="F455" s="221"/>
      <c r="G455" s="222"/>
    </row>
    <row r="456" spans="1:7" s="112" customFormat="1">
      <c r="A456" s="216"/>
      <c r="B456" s="217"/>
      <c r="C456" s="218"/>
      <c r="D456" s="219"/>
      <c r="E456" s="283"/>
      <c r="F456" s="221"/>
      <c r="G456" s="222"/>
    </row>
    <row r="457" spans="1:7" s="112" customFormat="1">
      <c r="A457" s="216"/>
      <c r="B457" s="217"/>
      <c r="C457" s="218"/>
      <c r="D457" s="219"/>
      <c r="E457" s="283"/>
      <c r="F457" s="221"/>
      <c r="G457" s="222"/>
    </row>
    <row r="458" spans="1:7" s="112" customFormat="1">
      <c r="A458" s="216"/>
      <c r="B458" s="217"/>
      <c r="C458" s="218"/>
      <c r="D458" s="219"/>
      <c r="E458" s="283"/>
      <c r="F458" s="221"/>
      <c r="G458" s="222"/>
    </row>
    <row r="459" spans="1:7" s="112" customFormat="1">
      <c r="A459" s="216"/>
      <c r="B459" s="217"/>
      <c r="C459" s="218"/>
      <c r="D459" s="219"/>
      <c r="E459" s="283"/>
      <c r="F459" s="221"/>
      <c r="G459" s="222"/>
    </row>
    <row r="460" spans="1:7" s="112" customFormat="1">
      <c r="A460" s="216"/>
      <c r="B460" s="217"/>
      <c r="C460" s="218"/>
      <c r="D460" s="219"/>
      <c r="E460" s="283"/>
      <c r="F460" s="221"/>
      <c r="G460" s="222"/>
    </row>
    <row r="461" spans="1:7" s="112" customFormat="1">
      <c r="A461" s="216"/>
      <c r="B461" s="217"/>
      <c r="C461" s="218"/>
      <c r="D461" s="219"/>
      <c r="E461" s="283"/>
      <c r="F461" s="221"/>
      <c r="G461" s="222"/>
    </row>
    <row r="462" spans="1:7" s="112" customFormat="1">
      <c r="A462" s="216"/>
      <c r="B462" s="217"/>
      <c r="C462" s="218"/>
      <c r="D462" s="219"/>
      <c r="E462" s="283"/>
      <c r="F462" s="221"/>
      <c r="G462" s="222"/>
    </row>
    <row r="463" spans="1:7" s="112" customFormat="1">
      <c r="A463" s="216"/>
      <c r="B463" s="217"/>
      <c r="C463" s="218"/>
      <c r="D463" s="219"/>
      <c r="E463" s="283"/>
      <c r="F463" s="221"/>
      <c r="G463" s="222"/>
    </row>
    <row r="464" spans="1:7" s="112" customFormat="1">
      <c r="A464" s="216"/>
      <c r="B464" s="217"/>
      <c r="C464" s="218"/>
      <c r="D464" s="219"/>
      <c r="E464" s="283"/>
      <c r="F464" s="221"/>
      <c r="G464" s="222"/>
    </row>
    <row r="465" spans="1:7" s="112" customFormat="1">
      <c r="A465" s="216"/>
      <c r="B465" s="217"/>
      <c r="C465" s="218"/>
      <c r="D465" s="219"/>
      <c r="E465" s="283"/>
      <c r="F465" s="221"/>
      <c r="G465" s="222"/>
    </row>
    <row r="466" spans="1:7" s="112" customFormat="1">
      <c r="A466" s="216"/>
      <c r="B466" s="217"/>
      <c r="C466" s="218"/>
      <c r="D466" s="219"/>
      <c r="E466" s="283"/>
      <c r="F466" s="221"/>
      <c r="G466" s="222"/>
    </row>
    <row r="467" spans="1:7" s="112" customFormat="1">
      <c r="A467" s="216"/>
      <c r="B467" s="217"/>
      <c r="C467" s="218"/>
      <c r="D467" s="219"/>
      <c r="E467" s="283"/>
      <c r="F467" s="221"/>
      <c r="G467" s="222"/>
    </row>
    <row r="468" spans="1:7" s="112" customFormat="1">
      <c r="A468" s="216"/>
      <c r="B468" s="217"/>
      <c r="C468" s="218"/>
      <c r="D468" s="219"/>
      <c r="E468" s="283"/>
      <c r="F468" s="221"/>
      <c r="G468" s="222"/>
    </row>
    <row r="469" spans="1:7" s="112" customFormat="1">
      <c r="A469" s="216"/>
      <c r="B469" s="217"/>
      <c r="C469" s="218"/>
      <c r="D469" s="219"/>
      <c r="E469" s="283"/>
      <c r="F469" s="221"/>
      <c r="G469" s="222"/>
    </row>
    <row r="470" spans="1:7" s="112" customFormat="1">
      <c r="A470" s="216"/>
      <c r="B470" s="217"/>
      <c r="C470" s="218"/>
      <c r="D470" s="219"/>
      <c r="E470" s="283"/>
      <c r="F470" s="221"/>
      <c r="G470" s="222"/>
    </row>
    <row r="471" spans="1:7" s="112" customFormat="1">
      <c r="A471" s="216"/>
      <c r="B471" s="217"/>
      <c r="C471" s="218"/>
      <c r="D471" s="219"/>
      <c r="E471" s="283"/>
      <c r="F471" s="221"/>
      <c r="G471" s="222"/>
    </row>
    <row r="472" spans="1:7" s="112" customFormat="1">
      <c r="A472" s="216"/>
      <c r="B472" s="217"/>
      <c r="C472" s="218"/>
      <c r="D472" s="219"/>
      <c r="E472" s="283"/>
      <c r="F472" s="221"/>
      <c r="G472" s="222"/>
    </row>
    <row r="473" spans="1:7" s="112" customFormat="1">
      <c r="A473" s="216"/>
      <c r="B473" s="217"/>
      <c r="C473" s="218"/>
      <c r="D473" s="219"/>
      <c r="E473" s="283"/>
      <c r="F473" s="221"/>
      <c r="G473" s="222"/>
    </row>
    <row r="474" spans="1:7" s="112" customFormat="1">
      <c r="A474" s="216"/>
      <c r="B474" s="217"/>
      <c r="C474" s="218"/>
      <c r="D474" s="219"/>
      <c r="E474" s="283"/>
      <c r="F474" s="221"/>
      <c r="G474" s="222"/>
    </row>
    <row r="475" spans="1:7" s="112" customFormat="1">
      <c r="A475" s="216"/>
      <c r="B475" s="217"/>
      <c r="C475" s="218"/>
      <c r="D475" s="219"/>
      <c r="E475" s="283"/>
      <c r="F475" s="221"/>
      <c r="G475" s="222"/>
    </row>
    <row r="476" spans="1:7" s="112" customFormat="1">
      <c r="A476" s="216"/>
      <c r="B476" s="217"/>
      <c r="C476" s="218"/>
      <c r="D476" s="219"/>
      <c r="E476" s="283"/>
      <c r="F476" s="221"/>
      <c r="G476" s="222"/>
    </row>
    <row r="477" spans="1:7" s="112" customFormat="1">
      <c r="A477" s="216"/>
      <c r="B477" s="217"/>
      <c r="C477" s="218"/>
      <c r="D477" s="219"/>
      <c r="E477" s="283"/>
      <c r="F477" s="221"/>
      <c r="G477" s="222"/>
    </row>
    <row r="478" spans="1:7" s="112" customFormat="1">
      <c r="A478" s="216"/>
      <c r="B478" s="217"/>
      <c r="C478" s="218"/>
      <c r="D478" s="219"/>
      <c r="E478" s="283"/>
      <c r="F478" s="221"/>
      <c r="G478" s="222"/>
    </row>
    <row r="479" spans="1:7" s="112" customFormat="1">
      <c r="A479" s="216"/>
      <c r="B479" s="217"/>
      <c r="C479" s="218"/>
      <c r="D479" s="219"/>
      <c r="E479" s="283"/>
      <c r="F479" s="221"/>
      <c r="G479" s="222"/>
    </row>
    <row r="480" spans="1:7" s="112" customFormat="1">
      <c r="A480" s="216"/>
      <c r="B480" s="217"/>
      <c r="C480" s="218"/>
      <c r="D480" s="219"/>
      <c r="E480" s="283"/>
      <c r="F480" s="221"/>
      <c r="G480" s="222"/>
    </row>
    <row r="481" spans="1:8" s="112" customFormat="1">
      <c r="A481" s="216"/>
      <c r="B481" s="217"/>
      <c r="C481" s="218"/>
      <c r="D481" s="219"/>
      <c r="E481" s="283"/>
      <c r="F481" s="221"/>
      <c r="G481" s="222"/>
    </row>
    <row r="482" spans="1:8" s="112" customFormat="1">
      <c r="A482" s="216"/>
      <c r="B482" s="217"/>
      <c r="C482" s="218"/>
      <c r="D482" s="219"/>
      <c r="E482" s="283"/>
      <c r="F482" s="221"/>
      <c r="G482" s="222"/>
    </row>
    <row r="483" spans="1:8" s="112" customFormat="1">
      <c r="A483" s="216"/>
      <c r="B483" s="217"/>
      <c r="C483" s="218"/>
      <c r="D483" s="219"/>
      <c r="E483" s="283"/>
      <c r="F483" s="221"/>
      <c r="G483" s="222"/>
    </row>
    <row r="484" spans="1:8" s="112" customFormat="1">
      <c r="A484" s="216"/>
      <c r="B484" s="217"/>
      <c r="C484" s="218"/>
      <c r="D484" s="219"/>
      <c r="E484" s="283"/>
      <c r="F484" s="221"/>
      <c r="G484" s="222"/>
    </row>
    <row r="485" spans="1:8" s="112" customFormat="1">
      <c r="A485" s="216"/>
      <c r="B485" s="217"/>
      <c r="C485" s="218"/>
      <c r="D485" s="219"/>
      <c r="E485" s="283"/>
      <c r="F485" s="221"/>
      <c r="G485" s="222"/>
    </row>
    <row r="486" spans="1:8" s="112" customFormat="1">
      <c r="A486" s="216"/>
      <c r="B486" s="217"/>
      <c r="C486" s="218"/>
      <c r="D486" s="219"/>
      <c r="E486" s="283"/>
      <c r="F486" s="221"/>
      <c r="G486" s="222"/>
    </row>
    <row r="487" spans="1:8" s="112" customFormat="1">
      <c r="A487" s="216"/>
      <c r="B487" s="217"/>
      <c r="C487" s="218"/>
      <c r="D487" s="219"/>
      <c r="E487" s="283"/>
      <c r="F487" s="221"/>
      <c r="G487" s="222"/>
    </row>
    <row r="488" spans="1:8" s="112" customFormat="1">
      <c r="A488" s="216"/>
      <c r="B488" s="217"/>
      <c r="C488" s="218"/>
      <c r="D488" s="219"/>
      <c r="E488" s="283"/>
      <c r="F488" s="221"/>
      <c r="G488" s="222"/>
    </row>
    <row r="489" spans="1:8" s="112" customFormat="1">
      <c r="A489" s="216"/>
      <c r="B489" s="217"/>
      <c r="C489" s="218"/>
      <c r="D489" s="219"/>
      <c r="E489" s="283"/>
      <c r="F489" s="221"/>
      <c r="G489" s="222"/>
    </row>
    <row r="490" spans="1:8" s="112" customFormat="1">
      <c r="A490" s="216"/>
      <c r="B490" s="217"/>
      <c r="C490" s="218"/>
      <c r="D490" s="219"/>
      <c r="E490" s="283"/>
      <c r="F490" s="221"/>
      <c r="G490" s="222"/>
    </row>
    <row r="491" spans="1:8" s="112" customFormat="1">
      <c r="A491" s="216"/>
      <c r="B491" s="217"/>
      <c r="C491" s="218"/>
      <c r="D491" s="219"/>
      <c r="E491" s="283"/>
      <c r="F491" s="221"/>
      <c r="G491" s="222"/>
    </row>
    <row r="492" spans="1:8" s="112" customFormat="1">
      <c r="A492" s="216"/>
      <c r="B492" s="217"/>
      <c r="C492" s="218"/>
      <c r="D492" s="219"/>
      <c r="E492" s="283"/>
      <c r="F492" s="221"/>
      <c r="G492" s="222"/>
    </row>
    <row r="493" spans="1:8">
      <c r="B493" s="217"/>
      <c r="C493" s="218"/>
      <c r="D493" s="219"/>
      <c r="E493" s="283"/>
      <c r="F493" s="221"/>
      <c r="G493" s="222"/>
      <c r="H493" s="112"/>
    </row>
    <row r="494" spans="1:8">
      <c r="B494" s="217"/>
      <c r="C494" s="218"/>
      <c r="D494" s="219"/>
      <c r="E494" s="283"/>
      <c r="F494" s="221"/>
      <c r="G494" s="222"/>
      <c r="H494" s="112"/>
    </row>
    <row r="495" spans="1:8">
      <c r="B495" s="217"/>
      <c r="C495" s="218"/>
      <c r="D495" s="219"/>
      <c r="E495" s="283"/>
      <c r="F495" s="221"/>
      <c r="G495" s="222"/>
      <c r="H495" s="112"/>
    </row>
    <row r="496" spans="1:8">
      <c r="B496" s="217"/>
      <c r="C496" s="218"/>
      <c r="D496" s="219"/>
      <c r="E496" s="283"/>
      <c r="F496" s="221"/>
      <c r="G496" s="222"/>
      <c r="H496" s="112"/>
    </row>
    <row r="497" spans="2:8">
      <c r="B497" s="217"/>
      <c r="C497" s="218"/>
      <c r="D497" s="219"/>
      <c r="E497" s="283"/>
      <c r="F497" s="221"/>
      <c r="G497" s="222"/>
      <c r="H497" s="112"/>
    </row>
    <row r="498" spans="2:8">
      <c r="B498" s="217"/>
      <c r="C498" s="218"/>
      <c r="D498" s="219"/>
      <c r="E498" s="283"/>
      <c r="F498" s="221"/>
    </row>
  </sheetData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A1:N498"/>
  <sheetViews>
    <sheetView view="pageBreakPreview" workbookViewId="0">
      <selection activeCell="C21" sqref="C21"/>
    </sheetView>
  </sheetViews>
  <sheetFormatPr defaultRowHeight="16.5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625" style="227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75" style="9" customWidth="1"/>
    <col min="12" max="12" width="7.125" style="228" bestFit="1" customWidth="1"/>
    <col min="13" max="13" width="6.75" style="228" bestFit="1" customWidth="1"/>
    <col min="14" max="14" width="6.875" style="229" bestFit="1" customWidth="1"/>
    <col min="15" max="15" width="10.375" style="9" customWidth="1"/>
    <col min="16" max="16384" width="9" style="9"/>
  </cols>
  <sheetData>
    <row r="1" spans="1:14" s="145" customFormat="1" ht="37.5" customHeight="1" thickBot="1">
      <c r="A1" s="30"/>
      <c r="B1" s="63" t="s">
        <v>163</v>
      </c>
      <c r="C1" s="314"/>
      <c r="D1" s="315"/>
      <c r="E1" s="256"/>
      <c r="F1" s="66"/>
      <c r="G1" s="54" t="s">
        <v>164</v>
      </c>
      <c r="H1"/>
      <c r="I1" s="145" t="s">
        <v>165</v>
      </c>
      <c r="J1" s="145" t="s">
        <v>166</v>
      </c>
      <c r="K1"/>
      <c r="L1" s="146"/>
      <c r="M1" s="146"/>
      <c r="N1" s="147"/>
    </row>
    <row r="2" spans="1:14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  <c r="L2" s="154" t="s">
        <v>174</v>
      </c>
      <c r="M2" s="154" t="s">
        <v>175</v>
      </c>
      <c r="N2" s="155" t="s">
        <v>176</v>
      </c>
    </row>
    <row r="3" spans="1:14" s="3" customFormat="1" ht="21" customHeight="1">
      <c r="A3" s="156" t="s">
        <v>12</v>
      </c>
      <c r="B3" s="304"/>
      <c r="C3" s="158"/>
      <c r="D3" s="159"/>
      <c r="E3" s="230"/>
      <c r="F3" s="160"/>
      <c r="G3" s="161"/>
      <c r="H3" s="162"/>
      <c r="I3" s="163"/>
      <c r="J3" s="164"/>
      <c r="K3" s="163"/>
      <c r="L3" s="165"/>
      <c r="M3" s="165"/>
      <c r="N3" s="166"/>
    </row>
    <row r="4" spans="1:14" s="3" customFormat="1" ht="21" customHeight="1">
      <c r="A4" s="156" t="s">
        <v>13</v>
      </c>
      <c r="B4" s="305"/>
      <c r="C4" s="168"/>
      <c r="D4" s="169"/>
      <c r="E4" s="231"/>
      <c r="F4" s="160"/>
      <c r="G4" s="161"/>
      <c r="H4" s="162"/>
      <c r="I4" s="163"/>
      <c r="J4" s="164"/>
      <c r="K4" s="163"/>
      <c r="L4" s="170"/>
      <c r="M4" s="170"/>
      <c r="N4" s="166"/>
    </row>
    <row r="5" spans="1:14" s="3" customFormat="1" ht="21" customHeight="1">
      <c r="A5" s="156" t="s">
        <v>14</v>
      </c>
      <c r="B5" s="306"/>
      <c r="C5" s="194"/>
      <c r="D5" s="195"/>
      <c r="E5" s="234"/>
      <c r="F5" s="160"/>
      <c r="G5" s="161"/>
      <c r="H5" s="162"/>
      <c r="I5" s="163"/>
      <c r="J5" s="164"/>
      <c r="K5" s="163"/>
      <c r="L5" s="196"/>
      <c r="M5" s="196"/>
      <c r="N5" s="166"/>
    </row>
    <row r="6" spans="1:14" s="3" customFormat="1" ht="21" customHeight="1">
      <c r="A6" s="156" t="s">
        <v>15</v>
      </c>
      <c r="B6" s="305"/>
      <c r="C6" s="172"/>
      <c r="D6" s="159"/>
      <c r="E6" s="230"/>
      <c r="F6" s="160"/>
      <c r="G6" s="161"/>
      <c r="H6" s="162"/>
      <c r="I6" s="163"/>
      <c r="J6" s="164"/>
      <c r="K6" s="163"/>
      <c r="L6" s="165"/>
      <c r="M6" s="165"/>
      <c r="N6" s="166"/>
    </row>
    <row r="7" spans="1:14" s="3" customFormat="1" ht="21" customHeight="1">
      <c r="A7" s="156" t="s">
        <v>16</v>
      </c>
      <c r="B7" s="305"/>
      <c r="C7" s="168"/>
      <c r="D7" s="169"/>
      <c r="E7" s="231"/>
      <c r="F7" s="160"/>
      <c r="G7" s="161"/>
      <c r="H7" s="162"/>
      <c r="I7" s="163"/>
      <c r="J7" s="164"/>
      <c r="K7" s="163"/>
      <c r="L7" s="170"/>
      <c r="M7" s="170"/>
      <c r="N7" s="166"/>
    </row>
    <row r="8" spans="1:14" s="3" customFormat="1" ht="21" customHeight="1">
      <c r="A8" s="156" t="s">
        <v>17</v>
      </c>
      <c r="B8" s="305"/>
      <c r="C8" s="168"/>
      <c r="D8" s="169"/>
      <c r="E8" s="231"/>
      <c r="F8" s="160"/>
      <c r="G8" s="161"/>
      <c r="H8" s="162"/>
      <c r="I8" s="163"/>
      <c r="J8" s="164"/>
      <c r="K8" s="163"/>
      <c r="L8" s="170"/>
      <c r="M8" s="170"/>
      <c r="N8" s="166"/>
    </row>
    <row r="9" spans="1:14" s="3" customFormat="1" ht="21" customHeight="1">
      <c r="A9" s="156" t="s">
        <v>18</v>
      </c>
      <c r="B9" s="306"/>
      <c r="C9" s="168"/>
      <c r="D9" s="169"/>
      <c r="E9" s="231"/>
      <c r="F9" s="160"/>
      <c r="G9" s="161"/>
      <c r="H9" s="162"/>
      <c r="I9" s="163"/>
      <c r="J9" s="164"/>
      <c r="K9" s="163"/>
      <c r="L9" s="170"/>
      <c r="M9" s="170"/>
      <c r="N9" s="166"/>
    </row>
    <row r="10" spans="1:14" s="3" customFormat="1" ht="21" customHeight="1" thickBot="1">
      <c r="A10" s="173" t="s">
        <v>19</v>
      </c>
      <c r="B10" s="307"/>
      <c r="C10" s="236"/>
      <c r="D10" s="176"/>
      <c r="E10" s="232"/>
      <c r="F10" s="177"/>
      <c r="G10" s="178"/>
      <c r="H10" s="244"/>
      <c r="I10" s="179"/>
      <c r="J10" s="246"/>
      <c r="K10" s="179"/>
      <c r="L10" s="181"/>
      <c r="M10" s="181"/>
      <c r="N10" s="251"/>
    </row>
    <row r="11" spans="1:14" s="3" customFormat="1" ht="21" customHeight="1" thickTop="1">
      <c r="A11" s="183" t="s">
        <v>20</v>
      </c>
      <c r="B11" s="308"/>
      <c r="C11" s="237"/>
      <c r="D11" s="241"/>
      <c r="E11" s="257"/>
      <c r="F11" s="187"/>
      <c r="G11" s="188"/>
      <c r="H11" s="189"/>
      <c r="I11" s="190"/>
      <c r="J11" s="191"/>
      <c r="K11" s="190"/>
      <c r="L11" s="249"/>
      <c r="M11" s="249"/>
      <c r="N11" s="193"/>
    </row>
    <row r="12" spans="1:14" s="3" customFormat="1" ht="21" customHeight="1">
      <c r="A12" s="156" t="s">
        <v>21</v>
      </c>
      <c r="B12" s="305"/>
      <c r="C12" s="158"/>
      <c r="D12" s="197"/>
      <c r="E12" s="254"/>
      <c r="F12" s="160"/>
      <c r="G12" s="161"/>
      <c r="H12" s="162"/>
      <c r="I12" s="163"/>
      <c r="J12" s="164"/>
      <c r="K12" s="163"/>
      <c r="L12" s="198"/>
      <c r="M12" s="198"/>
      <c r="N12" s="166"/>
    </row>
    <row r="13" spans="1:14" s="3" customFormat="1" ht="21" customHeight="1">
      <c r="A13" s="156" t="s">
        <v>22</v>
      </c>
      <c r="B13" s="305"/>
      <c r="C13" s="158"/>
      <c r="D13" s="159"/>
      <c r="E13" s="230"/>
      <c r="F13" s="160"/>
      <c r="G13" s="161"/>
      <c r="H13" s="162"/>
      <c r="I13" s="163"/>
      <c r="J13" s="164"/>
      <c r="K13" s="163"/>
      <c r="L13" s="165"/>
      <c r="M13" s="165"/>
      <c r="N13" s="166"/>
    </row>
    <row r="14" spans="1:14" s="3" customFormat="1" ht="21" customHeight="1">
      <c r="A14" s="156" t="s">
        <v>23</v>
      </c>
      <c r="B14" s="305"/>
      <c r="C14" s="158"/>
      <c r="D14" s="159"/>
      <c r="E14" s="230"/>
      <c r="F14" s="160"/>
      <c r="G14" s="161"/>
      <c r="H14" s="162"/>
      <c r="I14" s="163"/>
      <c r="J14" s="164"/>
      <c r="K14" s="163"/>
      <c r="L14" s="165"/>
      <c r="M14" s="165"/>
      <c r="N14" s="166"/>
    </row>
    <row r="15" spans="1:14" s="3" customFormat="1" ht="21" customHeight="1">
      <c r="A15" s="156" t="s">
        <v>24</v>
      </c>
      <c r="B15" s="305"/>
      <c r="C15" s="158"/>
      <c r="D15" s="159"/>
      <c r="E15" s="230"/>
      <c r="F15" s="160"/>
      <c r="G15" s="161"/>
      <c r="H15" s="160"/>
      <c r="I15" s="163"/>
      <c r="J15" s="205"/>
      <c r="K15" s="163"/>
      <c r="L15" s="165"/>
      <c r="M15" s="165"/>
      <c r="N15" s="196"/>
    </row>
    <row r="16" spans="1:14" s="3" customFormat="1" ht="21" customHeight="1">
      <c r="A16" s="156" t="s">
        <v>25</v>
      </c>
      <c r="B16" s="305"/>
      <c r="C16" s="158"/>
      <c r="D16" s="159"/>
      <c r="E16" s="230"/>
      <c r="F16" s="160"/>
      <c r="G16" s="161"/>
      <c r="H16" s="160"/>
      <c r="I16" s="163"/>
      <c r="J16" s="205"/>
      <c r="K16" s="163"/>
      <c r="L16" s="165"/>
      <c r="M16" s="165"/>
      <c r="N16" s="196"/>
    </row>
    <row r="17" spans="1:14" s="3" customFormat="1" ht="21" customHeight="1">
      <c r="A17" s="156" t="s">
        <v>26</v>
      </c>
      <c r="B17" s="305"/>
      <c r="C17" s="168"/>
      <c r="D17" s="169"/>
      <c r="E17" s="231"/>
      <c r="F17" s="160"/>
      <c r="G17" s="161"/>
      <c r="H17" s="162"/>
      <c r="I17" s="163"/>
      <c r="J17" s="164"/>
      <c r="K17" s="163"/>
      <c r="L17" s="170"/>
      <c r="M17" s="170"/>
      <c r="N17" s="166"/>
    </row>
    <row r="18" spans="1:14" s="3" customFormat="1" ht="21" customHeight="1" thickBot="1">
      <c r="A18" s="173" t="s">
        <v>27</v>
      </c>
      <c r="B18" s="309"/>
      <c r="C18" s="175"/>
      <c r="D18" s="176"/>
      <c r="E18" s="232"/>
      <c r="F18" s="177"/>
      <c r="G18" s="178"/>
      <c r="H18" s="244"/>
      <c r="I18" s="179"/>
      <c r="J18" s="246"/>
      <c r="K18" s="179"/>
      <c r="L18" s="181"/>
      <c r="M18" s="181"/>
      <c r="N18" s="251"/>
    </row>
    <row r="19" spans="1:14" s="3" customFormat="1" ht="21" customHeight="1" thickTop="1">
      <c r="A19" s="156" t="s">
        <v>28</v>
      </c>
      <c r="B19" s="305"/>
      <c r="C19" s="168"/>
      <c r="D19" s="169"/>
      <c r="E19" s="231"/>
      <c r="F19" s="160"/>
      <c r="G19" s="161"/>
      <c r="H19" s="162"/>
      <c r="I19" s="163"/>
      <c r="J19" s="164"/>
      <c r="K19" s="163"/>
      <c r="L19" s="170"/>
      <c r="M19" s="170"/>
      <c r="N19" s="166"/>
    </row>
    <row r="20" spans="1:14" s="3" customFormat="1" ht="21" customHeight="1">
      <c r="A20" s="156" t="s">
        <v>29</v>
      </c>
      <c r="B20" s="305"/>
      <c r="C20" s="158"/>
      <c r="D20" s="159"/>
      <c r="E20" s="230"/>
      <c r="F20" s="160"/>
      <c r="G20" s="161"/>
      <c r="H20" s="162"/>
      <c r="I20" s="163"/>
      <c r="J20" s="164"/>
      <c r="K20" s="163"/>
      <c r="L20" s="165"/>
      <c r="M20" s="165"/>
      <c r="N20" s="166"/>
    </row>
    <row r="21" spans="1:14" s="3" customFormat="1" ht="21" customHeight="1">
      <c r="A21" s="156" t="s">
        <v>30</v>
      </c>
      <c r="B21" s="305"/>
      <c r="C21" s="158"/>
      <c r="D21" s="159"/>
      <c r="E21" s="230"/>
      <c r="F21" s="160"/>
      <c r="G21" s="161"/>
      <c r="H21" s="160"/>
      <c r="I21" s="163"/>
      <c r="J21" s="205"/>
      <c r="K21" s="163"/>
      <c r="L21" s="165"/>
      <c r="M21" s="165"/>
      <c r="N21" s="196"/>
    </row>
    <row r="22" spans="1:14" s="3" customFormat="1" ht="21" customHeight="1">
      <c r="A22" s="156" t="s">
        <v>31</v>
      </c>
      <c r="B22" s="305"/>
      <c r="C22" s="168"/>
      <c r="D22" s="169"/>
      <c r="E22" s="231"/>
      <c r="F22" s="160"/>
      <c r="G22" s="161"/>
      <c r="H22" s="162"/>
      <c r="I22" s="163"/>
      <c r="J22" s="164"/>
      <c r="K22" s="163"/>
      <c r="L22" s="170"/>
      <c r="M22" s="170"/>
      <c r="N22" s="166"/>
    </row>
    <row r="23" spans="1:14" s="3" customFormat="1" ht="21" customHeight="1">
      <c r="A23" s="156" t="s">
        <v>32</v>
      </c>
      <c r="B23" s="305"/>
      <c r="C23" s="168"/>
      <c r="D23" s="169"/>
      <c r="E23" s="231"/>
      <c r="F23" s="160"/>
      <c r="G23" s="161"/>
      <c r="H23" s="162"/>
      <c r="I23" s="163"/>
      <c r="J23" s="164"/>
      <c r="K23" s="163"/>
      <c r="L23" s="170"/>
      <c r="M23" s="170"/>
      <c r="N23" s="166"/>
    </row>
    <row r="24" spans="1:14" s="3" customFormat="1" ht="21" customHeight="1">
      <c r="A24" s="156" t="s">
        <v>33</v>
      </c>
      <c r="B24" s="305"/>
      <c r="C24" s="168"/>
      <c r="D24" s="169"/>
      <c r="E24" s="231"/>
      <c r="F24" s="160"/>
      <c r="G24" s="161"/>
      <c r="H24" s="162"/>
      <c r="I24" s="163"/>
      <c r="J24" s="164"/>
      <c r="K24" s="163"/>
      <c r="L24" s="170"/>
      <c r="M24" s="170"/>
      <c r="N24" s="166"/>
    </row>
    <row r="25" spans="1:14" s="3" customFormat="1" ht="21" customHeight="1">
      <c r="A25" s="156" t="s">
        <v>34</v>
      </c>
      <c r="B25" s="306"/>
      <c r="C25" s="194"/>
      <c r="D25" s="195"/>
      <c r="E25" s="234"/>
      <c r="F25" s="160"/>
      <c r="G25" s="161"/>
      <c r="H25" s="162"/>
      <c r="I25" s="163"/>
      <c r="J25" s="164"/>
      <c r="K25" s="163"/>
      <c r="L25" s="196"/>
      <c r="M25" s="196"/>
      <c r="N25" s="166"/>
    </row>
    <row r="26" spans="1:14" s="3" customFormat="1" ht="21" customHeight="1" thickBot="1">
      <c r="A26" s="173" t="s">
        <v>35</v>
      </c>
      <c r="B26" s="307"/>
      <c r="C26" s="236"/>
      <c r="D26" s="176"/>
      <c r="E26" s="232"/>
      <c r="F26" s="177"/>
      <c r="G26" s="178"/>
      <c r="H26" s="244"/>
      <c r="I26" s="179"/>
      <c r="J26" s="246"/>
      <c r="K26" s="179"/>
      <c r="L26" s="181"/>
      <c r="M26" s="181"/>
      <c r="N26" s="251"/>
    </row>
    <row r="27" spans="1:14" s="3" customFormat="1" ht="21" customHeight="1" thickTop="1">
      <c r="A27" s="156" t="s">
        <v>36</v>
      </c>
      <c r="B27" s="305"/>
      <c r="C27" s="158"/>
      <c r="D27" s="197"/>
      <c r="E27" s="254"/>
      <c r="F27" s="160"/>
      <c r="G27" s="161"/>
      <c r="H27" s="162"/>
      <c r="I27" s="163"/>
      <c r="J27" s="164"/>
      <c r="K27" s="163"/>
      <c r="L27" s="198"/>
      <c r="M27" s="198"/>
      <c r="N27" s="166"/>
    </row>
    <row r="28" spans="1:14" s="3" customFormat="1" ht="21" customHeight="1">
      <c r="A28" s="156" t="s">
        <v>37</v>
      </c>
      <c r="B28" s="305"/>
      <c r="C28" s="158"/>
      <c r="D28" s="197"/>
      <c r="E28" s="254"/>
      <c r="F28" s="160"/>
      <c r="G28" s="161"/>
      <c r="H28" s="162"/>
      <c r="I28" s="163"/>
      <c r="J28" s="164"/>
      <c r="K28" s="163"/>
      <c r="L28" s="198"/>
      <c r="M28" s="198"/>
      <c r="N28" s="166"/>
    </row>
    <row r="29" spans="1:14" s="3" customFormat="1" ht="21" customHeight="1">
      <c r="A29" s="156" t="s">
        <v>38</v>
      </c>
      <c r="B29" s="305"/>
      <c r="C29" s="158"/>
      <c r="D29" s="159"/>
      <c r="E29" s="230"/>
      <c r="F29" s="160"/>
      <c r="G29" s="161"/>
      <c r="H29" s="160"/>
      <c r="I29" s="163"/>
      <c r="J29" s="205"/>
      <c r="K29" s="163"/>
      <c r="L29" s="165"/>
      <c r="M29" s="165"/>
      <c r="N29" s="196"/>
    </row>
    <row r="30" spans="1:14" s="3" customFormat="1" ht="21" customHeight="1">
      <c r="A30" s="156" t="s">
        <v>39</v>
      </c>
      <c r="B30" s="304"/>
      <c r="C30" s="158"/>
      <c r="D30" s="159"/>
      <c r="E30" s="230"/>
      <c r="F30" s="160"/>
      <c r="G30" s="161"/>
      <c r="H30" s="162"/>
      <c r="I30" s="163"/>
      <c r="J30" s="164"/>
      <c r="K30" s="163"/>
      <c r="L30" s="165"/>
      <c r="M30" s="165"/>
      <c r="N30" s="166"/>
    </row>
    <row r="31" spans="1:14" s="3" customFormat="1" ht="21" customHeight="1">
      <c r="A31" s="156" t="s">
        <v>40</v>
      </c>
      <c r="B31" s="305"/>
      <c r="C31" s="168"/>
      <c r="D31" s="169"/>
      <c r="E31" s="231"/>
      <c r="F31" s="160"/>
      <c r="G31" s="161"/>
      <c r="H31" s="162"/>
      <c r="I31" s="163"/>
      <c r="J31" s="164"/>
      <c r="K31" s="163"/>
      <c r="L31" s="170"/>
      <c r="M31" s="170"/>
      <c r="N31" s="166"/>
    </row>
    <row r="32" spans="1:14" s="3" customFormat="1" ht="21" customHeight="1">
      <c r="A32" s="156" t="s">
        <v>41</v>
      </c>
      <c r="B32" s="305"/>
      <c r="C32" s="168"/>
      <c r="D32" s="169"/>
      <c r="E32" s="231"/>
      <c r="F32" s="160"/>
      <c r="G32" s="161"/>
      <c r="H32" s="162"/>
      <c r="I32" s="163"/>
      <c r="J32" s="164"/>
      <c r="K32" s="163"/>
      <c r="L32" s="170"/>
      <c r="M32" s="170"/>
      <c r="N32" s="166"/>
    </row>
    <row r="33" spans="1:14" s="3" customFormat="1" ht="21" customHeight="1">
      <c r="A33" s="156" t="s">
        <v>42</v>
      </c>
      <c r="B33" s="305"/>
      <c r="C33" s="168"/>
      <c r="D33" s="169"/>
      <c r="E33" s="231"/>
      <c r="F33" s="160"/>
      <c r="G33" s="161"/>
      <c r="H33" s="162"/>
      <c r="I33" s="163"/>
      <c r="J33" s="164"/>
      <c r="K33" s="199"/>
      <c r="L33" s="170"/>
      <c r="M33" s="170"/>
      <c r="N33" s="166"/>
    </row>
    <row r="34" spans="1:14" s="3" customFormat="1" ht="21" customHeight="1" thickBot="1">
      <c r="A34" s="173" t="s">
        <v>43</v>
      </c>
      <c r="B34" s="307"/>
      <c r="C34" s="239"/>
      <c r="D34" s="242"/>
      <c r="E34" s="258"/>
      <c r="F34" s="177"/>
      <c r="G34" s="178"/>
      <c r="H34" s="245"/>
      <c r="I34" s="179"/>
      <c r="J34" s="246"/>
      <c r="K34" s="248"/>
      <c r="L34" s="250"/>
      <c r="M34" s="250"/>
      <c r="N34" s="251"/>
    </row>
    <row r="35" spans="1:14" s="3" customFormat="1" ht="21" customHeight="1" thickTop="1">
      <c r="A35" s="183" t="s">
        <v>44</v>
      </c>
      <c r="B35" s="310"/>
      <c r="C35" s="238"/>
      <c r="D35" s="241"/>
      <c r="E35" s="257"/>
      <c r="F35" s="187"/>
      <c r="G35" s="188"/>
      <c r="H35" s="189"/>
      <c r="I35" s="190"/>
      <c r="J35" s="191"/>
      <c r="K35" s="190"/>
      <c r="L35" s="249"/>
      <c r="M35" s="249"/>
      <c r="N35" s="193"/>
    </row>
    <row r="36" spans="1:14" s="3" customFormat="1" ht="21" customHeight="1">
      <c r="A36" s="156" t="s">
        <v>45</v>
      </c>
      <c r="B36" s="306"/>
      <c r="C36" s="194"/>
      <c r="D36" s="195"/>
      <c r="E36" s="234"/>
      <c r="F36" s="160"/>
      <c r="G36" s="161"/>
      <c r="H36" s="162"/>
      <c r="I36" s="163"/>
      <c r="J36" s="164"/>
      <c r="K36" s="163"/>
      <c r="L36" s="196"/>
      <c r="M36" s="196"/>
      <c r="N36" s="166"/>
    </row>
    <row r="37" spans="1:14" s="3" customFormat="1" ht="21" customHeight="1">
      <c r="A37" s="156" t="s">
        <v>46</v>
      </c>
      <c r="B37" s="305"/>
      <c r="C37" s="158"/>
      <c r="D37" s="159"/>
      <c r="E37" s="230"/>
      <c r="F37" s="160"/>
      <c r="G37" s="161"/>
      <c r="H37" s="160"/>
      <c r="I37" s="163"/>
      <c r="J37" s="205"/>
      <c r="K37" s="163"/>
      <c r="L37" s="165"/>
      <c r="M37" s="165"/>
      <c r="N37" s="196"/>
    </row>
    <row r="38" spans="1:14" s="3" customFormat="1" ht="21" customHeight="1">
      <c r="A38" s="156" t="s">
        <v>47</v>
      </c>
      <c r="B38" s="304"/>
      <c r="C38" s="158"/>
      <c r="D38" s="159"/>
      <c r="E38" s="230"/>
      <c r="F38" s="160"/>
      <c r="G38" s="161"/>
      <c r="H38" s="162"/>
      <c r="I38" s="163"/>
      <c r="J38" s="164"/>
      <c r="K38" s="163"/>
      <c r="L38" s="165"/>
      <c r="M38" s="165"/>
      <c r="N38" s="166"/>
    </row>
    <row r="39" spans="1:14" s="3" customFormat="1" ht="21" customHeight="1">
      <c r="A39" s="156" t="s">
        <v>48</v>
      </c>
      <c r="B39" s="305"/>
      <c r="C39" s="168"/>
      <c r="D39" s="169"/>
      <c r="E39" s="231"/>
      <c r="F39" s="160"/>
      <c r="G39" s="161"/>
      <c r="H39" s="162"/>
      <c r="I39" s="163"/>
      <c r="J39" s="164"/>
      <c r="K39" s="163"/>
      <c r="L39" s="170"/>
      <c r="M39" s="170"/>
      <c r="N39" s="166"/>
    </row>
    <row r="40" spans="1:14" s="3" customFormat="1" ht="21" customHeight="1">
      <c r="A40" s="156" t="s">
        <v>49</v>
      </c>
      <c r="B40" s="305"/>
      <c r="C40" s="168"/>
      <c r="D40" s="169"/>
      <c r="E40" s="231"/>
      <c r="F40" s="160"/>
      <c r="G40" s="161"/>
      <c r="H40" s="162"/>
      <c r="I40" s="163"/>
      <c r="J40" s="164"/>
      <c r="K40" s="163"/>
      <c r="L40" s="170"/>
      <c r="M40" s="170"/>
      <c r="N40" s="166"/>
    </row>
    <row r="41" spans="1:14" s="3" customFormat="1" ht="21" customHeight="1">
      <c r="A41" s="156" t="s">
        <v>50</v>
      </c>
      <c r="B41" s="306"/>
      <c r="C41" s="168"/>
      <c r="D41" s="169"/>
      <c r="E41" s="231"/>
      <c r="F41" s="160"/>
      <c r="G41" s="161"/>
      <c r="H41" s="162"/>
      <c r="I41" s="163"/>
      <c r="J41" s="164"/>
      <c r="K41" s="163"/>
      <c r="L41" s="170"/>
      <c r="M41" s="170"/>
      <c r="N41" s="166"/>
    </row>
    <row r="42" spans="1:14" s="3" customFormat="1" ht="21" customHeight="1" thickBot="1">
      <c r="A42" s="173" t="s">
        <v>51</v>
      </c>
      <c r="B42" s="307"/>
      <c r="C42" s="236"/>
      <c r="D42" s="176"/>
      <c r="E42" s="232"/>
      <c r="F42" s="177"/>
      <c r="G42" s="178"/>
      <c r="H42" s="244"/>
      <c r="I42" s="179"/>
      <c r="J42" s="246"/>
      <c r="K42" s="179"/>
      <c r="L42" s="181"/>
      <c r="M42" s="181"/>
      <c r="N42" s="251"/>
    </row>
    <row r="43" spans="1:14" s="3" customFormat="1" ht="21" customHeight="1" thickTop="1">
      <c r="A43" s="156" t="s">
        <v>52</v>
      </c>
      <c r="B43" s="305"/>
      <c r="C43" s="158"/>
      <c r="D43" s="159"/>
      <c r="E43" s="230"/>
      <c r="F43" s="160"/>
      <c r="G43" s="161"/>
      <c r="H43" s="162"/>
      <c r="I43" s="163"/>
      <c r="J43" s="164"/>
      <c r="K43" s="163"/>
      <c r="L43" s="165"/>
      <c r="M43" s="165"/>
      <c r="N43" s="166"/>
    </row>
    <row r="44" spans="1:14" s="3" customFormat="1" ht="21" customHeight="1">
      <c r="A44" s="156" t="s">
        <v>53</v>
      </c>
      <c r="B44" s="305"/>
      <c r="C44" s="158"/>
      <c r="D44" s="159"/>
      <c r="E44" s="230"/>
      <c r="F44" s="160"/>
      <c r="G44" s="161"/>
      <c r="H44" s="162"/>
      <c r="I44" s="163"/>
      <c r="J44" s="164"/>
      <c r="K44" s="163"/>
      <c r="L44" s="165"/>
      <c r="M44" s="165"/>
      <c r="N44" s="166"/>
    </row>
    <row r="45" spans="1:14" s="3" customFormat="1" ht="21" customHeight="1">
      <c r="A45" s="156" t="s">
        <v>54</v>
      </c>
      <c r="B45" s="305"/>
      <c r="C45" s="158"/>
      <c r="D45" s="159"/>
      <c r="E45" s="230"/>
      <c r="F45" s="160"/>
      <c r="G45" s="161"/>
      <c r="H45" s="160"/>
      <c r="I45" s="163"/>
      <c r="J45" s="205"/>
      <c r="K45" s="163"/>
      <c r="L45" s="165"/>
      <c r="M45" s="165"/>
      <c r="N45" s="196"/>
    </row>
    <row r="46" spans="1:14" s="3" customFormat="1" ht="21" customHeight="1">
      <c r="A46" s="156" t="s">
        <v>55</v>
      </c>
      <c r="B46" s="305"/>
      <c r="C46" s="168"/>
      <c r="D46" s="169"/>
      <c r="E46" s="231"/>
      <c r="F46" s="160"/>
      <c r="G46" s="161"/>
      <c r="H46" s="162"/>
      <c r="I46" s="163"/>
      <c r="J46" s="164"/>
      <c r="K46" s="163"/>
      <c r="L46" s="170"/>
      <c r="M46" s="170"/>
      <c r="N46" s="166"/>
    </row>
    <row r="47" spans="1:14" s="3" customFormat="1" ht="21" customHeight="1">
      <c r="A47" s="156" t="s">
        <v>56</v>
      </c>
      <c r="B47" s="305"/>
      <c r="C47" s="168"/>
      <c r="D47" s="169"/>
      <c r="E47" s="231"/>
      <c r="F47" s="160"/>
      <c r="G47" s="161"/>
      <c r="H47" s="162"/>
      <c r="I47" s="163"/>
      <c r="J47" s="164"/>
      <c r="K47" s="163"/>
      <c r="L47" s="170"/>
      <c r="M47" s="170"/>
      <c r="N47" s="166"/>
    </row>
    <row r="48" spans="1:14" s="3" customFormat="1" ht="21" customHeight="1">
      <c r="A48" s="156" t="s">
        <v>57</v>
      </c>
      <c r="B48" s="305"/>
      <c r="C48" s="168"/>
      <c r="D48" s="169"/>
      <c r="E48" s="231"/>
      <c r="F48" s="160"/>
      <c r="G48" s="161"/>
      <c r="H48" s="162"/>
      <c r="I48" s="163"/>
      <c r="J48" s="164"/>
      <c r="K48" s="163"/>
      <c r="L48" s="170"/>
      <c r="M48" s="170"/>
      <c r="N48" s="166"/>
    </row>
    <row r="49" spans="1:14" s="3" customFormat="1" ht="21" customHeight="1">
      <c r="A49" s="156" t="s">
        <v>58</v>
      </c>
      <c r="B49" s="306"/>
      <c r="C49" s="194"/>
      <c r="D49" s="195"/>
      <c r="E49" s="234"/>
      <c r="F49" s="160"/>
      <c r="G49" s="161"/>
      <c r="H49" s="162"/>
      <c r="I49" s="163"/>
      <c r="J49" s="164"/>
      <c r="K49" s="163"/>
      <c r="L49" s="196"/>
      <c r="M49" s="196"/>
      <c r="N49" s="166"/>
    </row>
    <row r="50" spans="1:14" s="3" customFormat="1" ht="21" customHeight="1" thickBot="1">
      <c r="A50" s="173" t="s">
        <v>59</v>
      </c>
      <c r="B50" s="307"/>
      <c r="C50" s="236"/>
      <c r="D50" s="176"/>
      <c r="E50" s="232"/>
      <c r="F50" s="177"/>
      <c r="G50" s="178"/>
      <c r="H50" s="244"/>
      <c r="I50" s="179"/>
      <c r="J50" s="246"/>
      <c r="K50" s="179"/>
      <c r="L50" s="181"/>
      <c r="M50" s="181"/>
      <c r="N50" s="251"/>
    </row>
    <row r="51" spans="1:14" s="3" customFormat="1" ht="21" customHeight="1" thickTop="1">
      <c r="A51" s="156" t="s">
        <v>60</v>
      </c>
      <c r="B51" s="305"/>
      <c r="C51" s="158"/>
      <c r="D51" s="197"/>
      <c r="E51" s="254"/>
      <c r="F51" s="160"/>
      <c r="G51" s="161"/>
      <c r="H51" s="162"/>
      <c r="I51" s="163"/>
      <c r="J51" s="164"/>
      <c r="K51" s="163"/>
      <c r="L51" s="198"/>
      <c r="M51" s="198"/>
      <c r="N51" s="166"/>
    </row>
    <row r="52" spans="1:14" s="3" customFormat="1" ht="21" customHeight="1">
      <c r="A52" s="156" t="s">
        <v>61</v>
      </c>
      <c r="B52" s="305"/>
      <c r="C52" s="158"/>
      <c r="D52" s="197"/>
      <c r="E52" s="254"/>
      <c r="F52" s="160"/>
      <c r="G52" s="161"/>
      <c r="H52" s="162"/>
      <c r="I52" s="163"/>
      <c r="J52" s="164"/>
      <c r="K52" s="163"/>
      <c r="L52" s="198"/>
      <c r="M52" s="198"/>
      <c r="N52" s="166"/>
    </row>
    <row r="53" spans="1:14" s="3" customFormat="1" ht="21" customHeight="1">
      <c r="A53" s="156" t="s">
        <v>62</v>
      </c>
      <c r="B53" s="305"/>
      <c r="C53" s="168"/>
      <c r="D53" s="169"/>
      <c r="E53" s="231"/>
      <c r="F53" s="160"/>
      <c r="G53" s="161"/>
      <c r="H53" s="162"/>
      <c r="I53" s="163"/>
      <c r="J53" s="164"/>
      <c r="K53" s="163"/>
      <c r="L53" s="170"/>
      <c r="M53" s="170"/>
      <c r="N53" s="166"/>
    </row>
    <row r="54" spans="1:14" s="3" customFormat="1" ht="21" customHeight="1">
      <c r="A54" s="156" t="s">
        <v>63</v>
      </c>
      <c r="B54" s="305"/>
      <c r="C54" s="168"/>
      <c r="D54" s="169"/>
      <c r="E54" s="231"/>
      <c r="F54" s="160"/>
      <c r="G54" s="161"/>
      <c r="H54" s="162"/>
      <c r="I54" s="163"/>
      <c r="J54" s="164"/>
      <c r="K54" s="163"/>
      <c r="L54" s="170"/>
      <c r="M54" s="170"/>
      <c r="N54" s="166"/>
    </row>
    <row r="55" spans="1:14" s="3" customFormat="1" ht="21" customHeight="1">
      <c r="A55" s="156" t="s">
        <v>64</v>
      </c>
      <c r="B55" s="305"/>
      <c r="C55" s="158"/>
      <c r="D55" s="159"/>
      <c r="E55" s="230"/>
      <c r="F55" s="160"/>
      <c r="G55" s="161"/>
      <c r="H55" s="160"/>
      <c r="I55" s="163"/>
      <c r="J55" s="205"/>
      <c r="K55" s="163"/>
      <c r="L55" s="165"/>
      <c r="M55" s="165"/>
      <c r="N55" s="196"/>
    </row>
    <row r="56" spans="1:14" s="3" customFormat="1" ht="21" customHeight="1">
      <c r="A56" s="156" t="s">
        <v>65</v>
      </c>
      <c r="B56" s="306"/>
      <c r="C56" s="168"/>
      <c r="D56" s="169"/>
      <c r="E56" s="231"/>
      <c r="F56" s="160"/>
      <c r="G56" s="161"/>
      <c r="H56" s="162"/>
      <c r="I56" s="163"/>
      <c r="J56" s="164"/>
      <c r="K56" s="163"/>
      <c r="L56" s="170"/>
      <c r="M56" s="170"/>
      <c r="N56" s="166"/>
    </row>
    <row r="57" spans="1:14" s="3" customFormat="1" ht="21" customHeight="1">
      <c r="A57" s="156" t="s">
        <v>66</v>
      </c>
      <c r="B57" s="305"/>
      <c r="C57" s="172"/>
      <c r="D57" s="159"/>
      <c r="E57" s="230"/>
      <c r="F57" s="160"/>
      <c r="G57" s="161"/>
      <c r="H57" s="162"/>
      <c r="I57" s="163"/>
      <c r="J57" s="164"/>
      <c r="K57" s="163"/>
      <c r="L57" s="165"/>
      <c r="M57" s="165"/>
      <c r="N57" s="166"/>
    </row>
    <row r="58" spans="1:14" s="3" customFormat="1" ht="21" customHeight="1" thickBot="1">
      <c r="A58" s="173" t="s">
        <v>67</v>
      </c>
      <c r="B58" s="307"/>
      <c r="C58" s="175"/>
      <c r="D58" s="176"/>
      <c r="E58" s="232"/>
      <c r="F58" s="177"/>
      <c r="G58" s="178"/>
      <c r="H58" s="244"/>
      <c r="I58" s="179"/>
      <c r="J58" s="246"/>
      <c r="K58" s="179"/>
      <c r="L58" s="181"/>
      <c r="M58" s="181"/>
      <c r="N58" s="251"/>
    </row>
    <row r="59" spans="1:14" s="3" customFormat="1" ht="21" customHeight="1" thickTop="1">
      <c r="A59" s="183" t="s">
        <v>68</v>
      </c>
      <c r="B59" s="308"/>
      <c r="C59" s="185"/>
      <c r="D59" s="186"/>
      <c r="E59" s="233"/>
      <c r="F59" s="187"/>
      <c r="G59" s="188"/>
      <c r="H59" s="189"/>
      <c r="I59" s="190"/>
      <c r="J59" s="191"/>
      <c r="K59" s="247"/>
      <c r="L59" s="192"/>
      <c r="M59" s="192"/>
      <c r="N59" s="193"/>
    </row>
    <row r="60" spans="1:14" s="3" customFormat="1" ht="21" customHeight="1">
      <c r="A60" s="156" t="s">
        <v>69</v>
      </c>
      <c r="B60" s="304"/>
      <c r="C60" s="158"/>
      <c r="D60" s="159"/>
      <c r="E60" s="230"/>
      <c r="F60" s="160"/>
      <c r="G60" s="161"/>
      <c r="H60" s="162"/>
      <c r="I60" s="163"/>
      <c r="J60" s="164"/>
      <c r="K60" s="163"/>
      <c r="L60" s="165"/>
      <c r="M60" s="165"/>
      <c r="N60" s="166"/>
    </row>
    <row r="61" spans="1:14" s="3" customFormat="1" ht="21" customHeight="1">
      <c r="A61" s="156" t="s">
        <v>70</v>
      </c>
      <c r="B61" s="305"/>
      <c r="C61" s="168"/>
      <c r="D61" s="169"/>
      <c r="E61" s="231"/>
      <c r="F61" s="160"/>
      <c r="G61" s="161"/>
      <c r="H61" s="162"/>
      <c r="I61" s="163"/>
      <c r="J61" s="164"/>
      <c r="K61" s="163"/>
      <c r="L61" s="170"/>
      <c r="M61" s="170"/>
      <c r="N61" s="166"/>
    </row>
    <row r="62" spans="1:14" s="3" customFormat="1" ht="21" customHeight="1">
      <c r="A62" s="156" t="s">
        <v>71</v>
      </c>
      <c r="B62" s="305"/>
      <c r="C62" s="168"/>
      <c r="D62" s="169"/>
      <c r="E62" s="231"/>
      <c r="F62" s="160"/>
      <c r="G62" s="161"/>
      <c r="H62" s="162"/>
      <c r="I62" s="163"/>
      <c r="J62" s="164"/>
      <c r="K62" s="163"/>
      <c r="L62" s="170"/>
      <c r="M62" s="170"/>
      <c r="N62" s="166"/>
    </row>
    <row r="63" spans="1:14" s="3" customFormat="1" ht="21" customHeight="1">
      <c r="A63" s="156" t="s">
        <v>72</v>
      </c>
      <c r="B63" s="305"/>
      <c r="C63" s="168"/>
      <c r="D63" s="169"/>
      <c r="E63" s="231"/>
      <c r="F63" s="160"/>
      <c r="G63" s="161"/>
      <c r="H63" s="162"/>
      <c r="I63" s="163"/>
      <c r="J63" s="164"/>
      <c r="K63" s="199"/>
      <c r="L63" s="170"/>
      <c r="M63" s="170"/>
      <c r="N63" s="166"/>
    </row>
    <row r="64" spans="1:14" s="3" customFormat="1" ht="21" customHeight="1">
      <c r="A64" s="156" t="s">
        <v>73</v>
      </c>
      <c r="B64" s="305"/>
      <c r="C64" s="168"/>
      <c r="D64" s="169"/>
      <c r="E64" s="231"/>
      <c r="F64" s="160"/>
      <c r="G64" s="161"/>
      <c r="H64" s="200"/>
      <c r="I64" s="163"/>
      <c r="J64" s="164"/>
      <c r="K64" s="199"/>
      <c r="L64" s="170"/>
      <c r="M64" s="170"/>
      <c r="N64" s="166"/>
    </row>
    <row r="65" spans="1:14" s="3" customFormat="1" ht="21" customHeight="1">
      <c r="A65" s="156" t="s">
        <v>74</v>
      </c>
      <c r="B65" s="306"/>
      <c r="C65" s="194"/>
      <c r="D65" s="197"/>
      <c r="E65" s="254"/>
      <c r="F65" s="160"/>
      <c r="G65" s="161"/>
      <c r="H65" s="162"/>
      <c r="I65" s="163"/>
      <c r="J65" s="164"/>
      <c r="K65" s="163"/>
      <c r="L65" s="198"/>
      <c r="M65" s="198"/>
      <c r="N65" s="166"/>
    </row>
    <row r="66" spans="1:14" s="3" customFormat="1" ht="21" customHeight="1" thickBot="1">
      <c r="A66" s="173" t="s">
        <v>75</v>
      </c>
      <c r="B66" s="311"/>
      <c r="C66" s="240"/>
      <c r="D66" s="243"/>
      <c r="E66" s="259"/>
      <c r="F66" s="177"/>
      <c r="G66" s="178"/>
      <c r="H66" s="244"/>
      <c r="I66" s="179"/>
      <c r="J66" s="246"/>
      <c r="K66" s="179"/>
      <c r="L66" s="182"/>
      <c r="M66" s="182"/>
      <c r="N66" s="251"/>
    </row>
    <row r="67" spans="1:14" s="3" customFormat="1" ht="21" customHeight="1" thickTop="1">
      <c r="A67" s="156" t="s">
        <v>76</v>
      </c>
      <c r="B67" s="305"/>
      <c r="C67" s="158"/>
      <c r="D67" s="159"/>
      <c r="E67" s="230"/>
      <c r="F67" s="160"/>
      <c r="G67" s="161"/>
      <c r="H67" s="160"/>
      <c r="I67" s="163"/>
      <c r="J67" s="205"/>
      <c r="K67" s="163"/>
      <c r="L67" s="165"/>
      <c r="M67" s="165"/>
      <c r="N67" s="196"/>
    </row>
    <row r="68" spans="1:14" s="3" customFormat="1" ht="21" customHeight="1">
      <c r="A68" s="156" t="s">
        <v>77</v>
      </c>
      <c r="B68" s="304"/>
      <c r="C68" s="158"/>
      <c r="D68" s="159"/>
      <c r="E68" s="230"/>
      <c r="F68" s="160"/>
      <c r="G68" s="161"/>
      <c r="H68" s="162"/>
      <c r="I68" s="163"/>
      <c r="J68" s="164"/>
      <c r="K68" s="163"/>
      <c r="L68" s="165"/>
      <c r="M68" s="165"/>
      <c r="N68" s="166"/>
    </row>
    <row r="69" spans="1:14" s="3" customFormat="1" ht="21" customHeight="1">
      <c r="A69" s="156" t="s">
        <v>78</v>
      </c>
      <c r="B69" s="305"/>
      <c r="C69" s="168"/>
      <c r="D69" s="169"/>
      <c r="E69" s="231"/>
      <c r="F69" s="160"/>
      <c r="G69" s="161"/>
      <c r="H69" s="162"/>
      <c r="I69" s="163"/>
      <c r="J69" s="164"/>
      <c r="K69" s="163"/>
      <c r="L69" s="170"/>
      <c r="M69" s="170"/>
      <c r="N69" s="166"/>
    </row>
    <row r="70" spans="1:14" s="3" customFormat="1" ht="21" customHeight="1">
      <c r="A70" s="156" t="s">
        <v>79</v>
      </c>
      <c r="B70" s="305"/>
      <c r="C70" s="168"/>
      <c r="D70" s="169"/>
      <c r="E70" s="231"/>
      <c r="F70" s="160"/>
      <c r="G70" s="161"/>
      <c r="H70" s="162"/>
      <c r="I70" s="163"/>
      <c r="J70" s="164"/>
      <c r="K70" s="163"/>
      <c r="L70" s="170"/>
      <c r="M70" s="170"/>
      <c r="N70" s="166"/>
    </row>
    <row r="71" spans="1:14" s="3" customFormat="1" ht="21" customHeight="1">
      <c r="A71" s="156" t="s">
        <v>80</v>
      </c>
      <c r="B71" s="305"/>
      <c r="C71" s="168"/>
      <c r="D71" s="169"/>
      <c r="E71" s="231"/>
      <c r="F71" s="160"/>
      <c r="G71" s="161"/>
      <c r="H71" s="200"/>
      <c r="I71" s="163"/>
      <c r="J71" s="164"/>
      <c r="K71" s="199"/>
      <c r="L71" s="170"/>
      <c r="M71" s="170"/>
      <c r="N71" s="166"/>
    </row>
    <row r="72" spans="1:14" s="3" customFormat="1" ht="21" customHeight="1">
      <c r="A72" s="156" t="s">
        <v>81</v>
      </c>
      <c r="B72" s="306"/>
      <c r="C72" s="194"/>
      <c r="D72" s="197"/>
      <c r="E72" s="254"/>
      <c r="F72" s="160"/>
      <c r="G72" s="161"/>
      <c r="H72" s="162"/>
      <c r="I72" s="163"/>
      <c r="J72" s="164"/>
      <c r="K72" s="163"/>
      <c r="L72" s="198"/>
      <c r="M72" s="198"/>
      <c r="N72" s="166"/>
    </row>
    <row r="73" spans="1:14" s="3" customFormat="1" ht="21" customHeight="1">
      <c r="A73" s="156" t="s">
        <v>82</v>
      </c>
      <c r="B73" s="306"/>
      <c r="C73" s="194"/>
      <c r="D73" s="195"/>
      <c r="E73" s="234"/>
      <c r="F73" s="160"/>
      <c r="G73" s="161"/>
      <c r="H73" s="162"/>
      <c r="I73" s="163"/>
      <c r="J73" s="164"/>
      <c r="K73" s="163"/>
      <c r="L73" s="196"/>
      <c r="M73" s="196"/>
      <c r="N73" s="166"/>
    </row>
    <row r="74" spans="1:14" s="3" customFormat="1" ht="21" customHeight="1" thickBot="1">
      <c r="A74" s="156" t="s">
        <v>83</v>
      </c>
      <c r="B74" s="307"/>
      <c r="C74" s="175"/>
      <c r="D74" s="176"/>
      <c r="E74" s="232"/>
      <c r="F74" s="177"/>
      <c r="G74" s="178"/>
      <c r="H74" s="177"/>
      <c r="I74" s="179"/>
      <c r="J74" s="180"/>
      <c r="K74" s="179"/>
      <c r="L74" s="181"/>
      <c r="M74" s="181"/>
      <c r="N74" s="182"/>
    </row>
    <row r="75" spans="1:14" s="3" customFormat="1" ht="21" customHeight="1" thickTop="1">
      <c r="A75" s="156" t="s">
        <v>84</v>
      </c>
      <c r="B75" s="304"/>
      <c r="C75" s="158"/>
      <c r="D75" s="159"/>
      <c r="E75" s="230"/>
      <c r="F75" s="160"/>
      <c r="G75" s="161"/>
      <c r="H75" s="162"/>
      <c r="I75" s="163"/>
      <c r="J75" s="164"/>
      <c r="K75" s="163"/>
      <c r="L75" s="165"/>
      <c r="M75" s="165"/>
      <c r="N75" s="166"/>
    </row>
    <row r="76" spans="1:14" s="3" customFormat="1" ht="21" customHeight="1">
      <c r="A76" s="156" t="s">
        <v>85</v>
      </c>
      <c r="B76" s="305"/>
      <c r="C76" s="168"/>
      <c r="D76" s="169"/>
      <c r="E76" s="231"/>
      <c r="F76" s="160"/>
      <c r="G76" s="161"/>
      <c r="H76" s="162"/>
      <c r="I76" s="163"/>
      <c r="J76" s="164"/>
      <c r="K76" s="163"/>
      <c r="L76" s="170"/>
      <c r="M76" s="170"/>
      <c r="N76" s="166"/>
    </row>
    <row r="77" spans="1:14" s="3" customFormat="1" ht="21" customHeight="1">
      <c r="A77" s="156" t="s">
        <v>86</v>
      </c>
      <c r="B77" s="305"/>
      <c r="C77" s="168"/>
      <c r="D77" s="169"/>
      <c r="E77" s="231"/>
      <c r="F77" s="160"/>
      <c r="G77" s="161"/>
      <c r="H77" s="162"/>
      <c r="I77" s="163"/>
      <c r="J77" s="164"/>
      <c r="K77" s="163"/>
      <c r="L77" s="170"/>
      <c r="M77" s="170"/>
      <c r="N77" s="166"/>
    </row>
    <row r="78" spans="1:14" s="3" customFormat="1" ht="21" customHeight="1">
      <c r="A78" s="156" t="s">
        <v>87</v>
      </c>
      <c r="B78" s="306"/>
      <c r="C78" s="168"/>
      <c r="D78" s="169"/>
      <c r="E78" s="231"/>
      <c r="F78" s="160"/>
      <c r="G78" s="161"/>
      <c r="H78" s="162"/>
      <c r="I78" s="163"/>
      <c r="J78" s="164"/>
      <c r="K78" s="163"/>
      <c r="L78" s="170"/>
      <c r="M78" s="170"/>
      <c r="N78" s="166"/>
    </row>
    <row r="79" spans="1:14" s="3" customFormat="1" ht="21" customHeight="1">
      <c r="A79" s="156" t="s">
        <v>88</v>
      </c>
      <c r="B79" s="305"/>
      <c r="C79" s="172"/>
      <c r="D79" s="159"/>
      <c r="E79" s="230"/>
      <c r="F79" s="160"/>
      <c r="G79" s="161"/>
      <c r="H79" s="162"/>
      <c r="I79" s="163"/>
      <c r="J79" s="164"/>
      <c r="K79" s="163"/>
      <c r="L79" s="165"/>
      <c r="M79" s="165"/>
      <c r="N79" s="166"/>
    </row>
    <row r="80" spans="1:14" s="3" customFormat="1" ht="21" customHeight="1">
      <c r="A80" s="156" t="s">
        <v>89</v>
      </c>
      <c r="B80" s="305"/>
      <c r="C80" s="158"/>
      <c r="D80" s="159"/>
      <c r="E80" s="230"/>
      <c r="F80" s="160"/>
      <c r="G80" s="161"/>
      <c r="H80" s="162"/>
      <c r="I80" s="163"/>
      <c r="J80" s="164"/>
      <c r="K80" s="163"/>
      <c r="L80" s="165"/>
      <c r="M80" s="165"/>
      <c r="N80" s="166"/>
    </row>
    <row r="81" spans="1:14" s="3" customFormat="1" ht="21" customHeight="1">
      <c r="A81" s="156" t="s">
        <v>90</v>
      </c>
      <c r="B81" s="305"/>
      <c r="C81" s="158"/>
      <c r="D81" s="159"/>
      <c r="E81" s="230"/>
      <c r="F81" s="160"/>
      <c r="G81" s="161"/>
      <c r="H81" s="162"/>
      <c r="I81" s="163"/>
      <c r="J81" s="164"/>
      <c r="K81" s="163"/>
      <c r="L81" s="165"/>
      <c r="M81" s="165"/>
      <c r="N81" s="166"/>
    </row>
    <row r="82" spans="1:14" s="3" customFormat="1" ht="21" customHeight="1" thickBot="1">
      <c r="A82" s="156" t="s">
        <v>91</v>
      </c>
      <c r="B82" s="307"/>
      <c r="C82" s="175"/>
      <c r="D82" s="176"/>
      <c r="E82" s="232"/>
      <c r="F82" s="177"/>
      <c r="G82" s="178"/>
      <c r="H82" s="177"/>
      <c r="I82" s="179"/>
      <c r="J82" s="180"/>
      <c r="K82" s="179"/>
      <c r="L82" s="181"/>
      <c r="M82" s="181"/>
      <c r="N82" s="182"/>
    </row>
    <row r="83" spans="1:14" s="3" customFormat="1" ht="21" customHeight="1" thickTop="1">
      <c r="A83" s="156" t="s">
        <v>92</v>
      </c>
      <c r="B83" s="308"/>
      <c r="C83" s="185"/>
      <c r="D83" s="186"/>
      <c r="E83" s="233"/>
      <c r="F83" s="187"/>
      <c r="G83" s="188"/>
      <c r="H83" s="189"/>
      <c r="I83" s="190"/>
      <c r="J83" s="191"/>
      <c r="K83" s="190"/>
      <c r="L83" s="192"/>
      <c r="M83" s="192"/>
      <c r="N83" s="193"/>
    </row>
    <row r="84" spans="1:14" s="3" customFormat="1" ht="21" customHeight="1">
      <c r="A84" s="156" t="s">
        <v>93</v>
      </c>
      <c r="B84" s="305"/>
      <c r="C84" s="168"/>
      <c r="D84" s="169"/>
      <c r="E84" s="231"/>
      <c r="F84" s="160"/>
      <c r="G84" s="161"/>
      <c r="H84" s="162"/>
      <c r="I84" s="163"/>
      <c r="J84" s="164"/>
      <c r="K84" s="163"/>
      <c r="L84" s="170"/>
      <c r="M84" s="170"/>
      <c r="N84" s="166"/>
    </row>
    <row r="85" spans="1:14" s="3" customFormat="1" ht="21" customHeight="1">
      <c r="A85" s="156" t="s">
        <v>94</v>
      </c>
      <c r="B85" s="305"/>
      <c r="C85" s="168"/>
      <c r="D85" s="169"/>
      <c r="E85" s="231"/>
      <c r="F85" s="160"/>
      <c r="G85" s="161"/>
      <c r="H85" s="162"/>
      <c r="I85" s="163"/>
      <c r="J85" s="164"/>
      <c r="K85" s="163"/>
      <c r="L85" s="170"/>
      <c r="M85" s="170"/>
      <c r="N85" s="166"/>
    </row>
    <row r="86" spans="1:14" s="3" customFormat="1" ht="21" customHeight="1">
      <c r="A86" s="156" t="s">
        <v>95</v>
      </c>
      <c r="B86" s="306"/>
      <c r="C86" s="194"/>
      <c r="D86" s="195"/>
      <c r="E86" s="234"/>
      <c r="F86" s="160"/>
      <c r="G86" s="161"/>
      <c r="H86" s="162"/>
      <c r="I86" s="163"/>
      <c r="J86" s="164"/>
      <c r="K86" s="163"/>
      <c r="L86" s="196"/>
      <c r="M86" s="196"/>
      <c r="N86" s="166"/>
    </row>
    <row r="87" spans="1:14" s="3" customFormat="1" ht="21" customHeight="1">
      <c r="A87" s="156" t="s">
        <v>96</v>
      </c>
      <c r="B87" s="305"/>
      <c r="C87" s="172"/>
      <c r="D87" s="159"/>
      <c r="E87" s="230"/>
      <c r="F87" s="160"/>
      <c r="G87" s="161"/>
      <c r="H87" s="162"/>
      <c r="I87" s="163"/>
      <c r="J87" s="164"/>
      <c r="K87" s="163"/>
      <c r="L87" s="165"/>
      <c r="M87" s="165"/>
      <c r="N87" s="166"/>
    </row>
    <row r="88" spans="1:14" s="3" customFormat="1" ht="21" customHeight="1">
      <c r="A88" s="156" t="s">
        <v>97</v>
      </c>
      <c r="B88" s="305"/>
      <c r="C88" s="158"/>
      <c r="D88" s="197"/>
      <c r="E88" s="254"/>
      <c r="F88" s="160"/>
      <c r="G88" s="161"/>
      <c r="H88" s="162"/>
      <c r="I88" s="163"/>
      <c r="J88" s="164"/>
      <c r="K88" s="163"/>
      <c r="L88" s="198"/>
      <c r="M88" s="198"/>
      <c r="N88" s="166"/>
    </row>
    <row r="89" spans="1:14" s="3" customFormat="1" ht="21" customHeight="1">
      <c r="A89" s="156" t="s">
        <v>98</v>
      </c>
      <c r="B89" s="305"/>
      <c r="C89" s="158"/>
      <c r="D89" s="197"/>
      <c r="E89" s="254"/>
      <c r="F89" s="160"/>
      <c r="G89" s="161"/>
      <c r="H89" s="162"/>
      <c r="I89" s="163"/>
      <c r="J89" s="164"/>
      <c r="K89" s="163"/>
      <c r="L89" s="198"/>
      <c r="M89" s="198"/>
      <c r="N89" s="166"/>
    </row>
    <row r="90" spans="1:14" s="3" customFormat="1" ht="21" customHeight="1" thickBot="1">
      <c r="A90" s="156" t="s">
        <v>99</v>
      </c>
      <c r="B90" s="307"/>
      <c r="C90" s="175"/>
      <c r="D90" s="176"/>
      <c r="E90" s="232"/>
      <c r="F90" s="177"/>
      <c r="G90" s="178"/>
      <c r="H90" s="177"/>
      <c r="I90" s="179"/>
      <c r="J90" s="180"/>
      <c r="K90" s="179"/>
      <c r="L90" s="181"/>
      <c r="M90" s="181"/>
      <c r="N90" s="182"/>
    </row>
    <row r="91" spans="1:14" s="3" customFormat="1" ht="21" customHeight="1" thickTop="1">
      <c r="A91" s="156" t="s">
        <v>100</v>
      </c>
      <c r="B91" s="304"/>
      <c r="C91" s="158"/>
      <c r="D91" s="159"/>
      <c r="E91" s="230"/>
      <c r="F91" s="160"/>
      <c r="G91" s="161"/>
      <c r="H91" s="162"/>
      <c r="I91" s="163"/>
      <c r="J91" s="164"/>
      <c r="K91" s="163"/>
      <c r="L91" s="165"/>
      <c r="M91" s="165"/>
      <c r="N91" s="166"/>
    </row>
    <row r="92" spans="1:14" s="3" customFormat="1" ht="21" customHeight="1">
      <c r="A92" s="156" t="s">
        <v>101</v>
      </c>
      <c r="B92" s="305"/>
      <c r="C92" s="168"/>
      <c r="D92" s="169"/>
      <c r="E92" s="231"/>
      <c r="F92" s="160"/>
      <c r="G92" s="161"/>
      <c r="H92" s="162"/>
      <c r="I92" s="163"/>
      <c r="J92" s="164"/>
      <c r="K92" s="163"/>
      <c r="L92" s="170"/>
      <c r="M92" s="170"/>
      <c r="N92" s="166"/>
    </row>
    <row r="93" spans="1:14" s="3" customFormat="1" ht="21" customHeight="1">
      <c r="A93" s="156" t="s">
        <v>102</v>
      </c>
      <c r="B93" s="305"/>
      <c r="C93" s="168"/>
      <c r="D93" s="169"/>
      <c r="E93" s="231"/>
      <c r="F93" s="160"/>
      <c r="G93" s="161"/>
      <c r="H93" s="162"/>
      <c r="I93" s="163"/>
      <c r="J93" s="164"/>
      <c r="K93" s="163"/>
      <c r="L93" s="170"/>
      <c r="M93" s="170"/>
      <c r="N93" s="166"/>
    </row>
    <row r="94" spans="1:14" s="3" customFormat="1" ht="21" customHeight="1">
      <c r="A94" s="156" t="s">
        <v>103</v>
      </c>
      <c r="B94" s="305"/>
      <c r="C94" s="168"/>
      <c r="D94" s="169"/>
      <c r="E94" s="231"/>
      <c r="F94" s="160"/>
      <c r="G94" s="161"/>
      <c r="H94" s="162"/>
      <c r="I94" s="163"/>
      <c r="J94" s="164"/>
      <c r="K94" s="199"/>
      <c r="L94" s="170"/>
      <c r="M94" s="170"/>
      <c r="N94" s="166"/>
    </row>
    <row r="95" spans="1:14" s="3" customFormat="1" ht="21" customHeight="1">
      <c r="A95" s="156" t="s">
        <v>104</v>
      </c>
      <c r="B95" s="305"/>
      <c r="C95" s="168"/>
      <c r="D95" s="169"/>
      <c r="E95" s="231"/>
      <c r="F95" s="160"/>
      <c r="G95" s="161"/>
      <c r="H95" s="200"/>
      <c r="I95" s="163"/>
      <c r="J95" s="164"/>
      <c r="K95" s="199"/>
      <c r="L95" s="170"/>
      <c r="M95" s="170"/>
      <c r="N95" s="166"/>
    </row>
    <row r="96" spans="1:14" s="3" customFormat="1" ht="21" customHeight="1">
      <c r="A96" s="156" t="s">
        <v>105</v>
      </c>
      <c r="B96" s="306"/>
      <c r="C96" s="194"/>
      <c r="D96" s="197"/>
      <c r="E96" s="254"/>
      <c r="F96" s="160"/>
      <c r="G96" s="161"/>
      <c r="H96" s="162"/>
      <c r="I96" s="163"/>
      <c r="J96" s="164"/>
      <c r="K96" s="163"/>
      <c r="L96" s="198"/>
      <c r="M96" s="198"/>
      <c r="N96" s="166"/>
    </row>
    <row r="97" spans="1:14" s="3" customFormat="1" ht="21" customHeight="1">
      <c r="A97" s="156" t="s">
        <v>106</v>
      </c>
      <c r="B97" s="306"/>
      <c r="C97" s="194"/>
      <c r="D97" s="195"/>
      <c r="E97" s="234"/>
      <c r="F97" s="160"/>
      <c r="G97" s="161"/>
      <c r="H97" s="162"/>
      <c r="I97" s="163"/>
      <c r="J97" s="164"/>
      <c r="K97" s="163"/>
      <c r="L97" s="196"/>
      <c r="M97" s="196"/>
      <c r="N97" s="166"/>
    </row>
    <row r="98" spans="1:14" s="3" customFormat="1" ht="21" customHeight="1" thickBot="1">
      <c r="A98" s="156" t="s">
        <v>107</v>
      </c>
      <c r="B98" s="307"/>
      <c r="C98" s="175"/>
      <c r="D98" s="176"/>
      <c r="E98" s="232"/>
      <c r="F98" s="177"/>
      <c r="G98" s="178"/>
      <c r="H98" s="177"/>
      <c r="I98" s="179"/>
      <c r="J98" s="180"/>
      <c r="K98" s="179"/>
      <c r="L98" s="181"/>
      <c r="M98" s="181"/>
      <c r="N98" s="182"/>
    </row>
    <row r="99" spans="1:14" s="3" customFormat="1" ht="21" customHeight="1" thickTop="1">
      <c r="A99" s="156" t="s">
        <v>108</v>
      </c>
      <c r="B99" s="304"/>
      <c r="C99" s="158"/>
      <c r="D99" s="159"/>
      <c r="E99" s="230"/>
      <c r="F99" s="201"/>
      <c r="G99" s="202"/>
      <c r="H99" s="203"/>
      <c r="I99" s="163"/>
      <c r="J99" s="164"/>
      <c r="K99" s="163"/>
      <c r="L99" s="165"/>
      <c r="M99" s="165"/>
      <c r="N99" s="166"/>
    </row>
    <row r="100" spans="1:14" s="3" customFormat="1" ht="21" customHeight="1">
      <c r="A100" s="156" t="s">
        <v>109</v>
      </c>
      <c r="B100" s="305"/>
      <c r="C100" s="168"/>
      <c r="D100" s="169"/>
      <c r="E100" s="231"/>
      <c r="F100" s="201"/>
      <c r="G100" s="202"/>
      <c r="H100" s="203"/>
      <c r="I100" s="163"/>
      <c r="J100" s="164"/>
      <c r="K100" s="163"/>
      <c r="L100" s="170"/>
      <c r="M100" s="170"/>
      <c r="N100" s="166"/>
    </row>
    <row r="101" spans="1:14" s="3" customFormat="1" ht="21" customHeight="1">
      <c r="A101" s="156" t="s">
        <v>110</v>
      </c>
      <c r="B101" s="305"/>
      <c r="C101" s="168"/>
      <c r="D101" s="169"/>
      <c r="E101" s="231"/>
      <c r="F101" s="201"/>
      <c r="G101" s="202"/>
      <c r="H101" s="203"/>
      <c r="I101" s="163"/>
      <c r="J101" s="164"/>
      <c r="K101" s="163"/>
      <c r="L101" s="170"/>
      <c r="M101" s="170"/>
      <c r="N101" s="166"/>
    </row>
    <row r="102" spans="1:14" s="3" customFormat="1" ht="21" customHeight="1">
      <c r="A102" s="156" t="s">
        <v>111</v>
      </c>
      <c r="B102" s="305"/>
      <c r="C102" s="168"/>
      <c r="D102" s="169"/>
      <c r="E102" s="231"/>
      <c r="F102" s="201"/>
      <c r="G102" s="202"/>
      <c r="H102" s="203"/>
      <c r="I102" s="163"/>
      <c r="J102" s="164"/>
      <c r="K102" s="163"/>
      <c r="L102" s="170"/>
      <c r="M102" s="170"/>
      <c r="N102" s="166"/>
    </row>
    <row r="103" spans="1:14" s="3" customFormat="1" ht="21" customHeight="1">
      <c r="A103" s="156" t="s">
        <v>112</v>
      </c>
      <c r="B103" s="305"/>
      <c r="C103" s="168"/>
      <c r="D103" s="169"/>
      <c r="E103" s="231"/>
      <c r="F103" s="201"/>
      <c r="G103" s="202"/>
      <c r="H103" s="203"/>
      <c r="I103" s="163"/>
      <c r="J103" s="164"/>
      <c r="K103" s="163"/>
      <c r="L103" s="170"/>
      <c r="M103" s="170"/>
      <c r="N103" s="166"/>
    </row>
    <row r="104" spans="1:14" s="3" customFormat="1" ht="21" customHeight="1">
      <c r="A104" s="156" t="s">
        <v>113</v>
      </c>
      <c r="B104" s="306"/>
      <c r="C104" s="194"/>
      <c r="D104" s="197"/>
      <c r="E104" s="254"/>
      <c r="F104" s="201"/>
      <c r="G104" s="202"/>
      <c r="H104" s="203"/>
      <c r="I104" s="163"/>
      <c r="J104" s="164"/>
      <c r="K104" s="163"/>
      <c r="L104" s="198"/>
      <c r="M104" s="198"/>
      <c r="N104" s="166"/>
    </row>
    <row r="105" spans="1:14" s="3" customFormat="1" ht="21" customHeight="1">
      <c r="A105" s="156" t="s">
        <v>114</v>
      </c>
      <c r="B105" s="306"/>
      <c r="C105" s="194"/>
      <c r="D105" s="195"/>
      <c r="E105" s="234"/>
      <c r="F105" s="201"/>
      <c r="G105" s="202"/>
      <c r="H105" s="203"/>
      <c r="I105" s="163"/>
      <c r="J105" s="164"/>
      <c r="K105" s="163"/>
      <c r="L105" s="196"/>
      <c r="M105" s="196"/>
      <c r="N105" s="166"/>
    </row>
    <row r="106" spans="1:14" s="3" customFormat="1" ht="21" customHeight="1">
      <c r="A106" s="156" t="s">
        <v>115</v>
      </c>
      <c r="B106" s="304"/>
      <c r="C106" s="172"/>
      <c r="D106" s="204"/>
      <c r="E106" s="255"/>
      <c r="F106" s="201"/>
      <c r="G106" s="202"/>
      <c r="H106" s="201"/>
      <c r="I106" s="163"/>
      <c r="J106" s="205"/>
      <c r="K106" s="163"/>
      <c r="L106" s="206"/>
      <c r="M106" s="206"/>
      <c r="N106" s="166"/>
    </row>
    <row r="107" spans="1:14" s="3" customFormat="1" ht="21" customHeight="1">
      <c r="A107" s="156" t="s">
        <v>116</v>
      </c>
      <c r="B107" s="305"/>
      <c r="C107" s="172"/>
      <c r="D107" s="159"/>
      <c r="E107" s="230"/>
      <c r="F107" s="201"/>
      <c r="G107" s="202"/>
      <c r="H107" s="203"/>
      <c r="I107" s="163"/>
      <c r="J107" s="164"/>
      <c r="K107" s="163"/>
      <c r="L107" s="165"/>
      <c r="M107" s="165"/>
      <c r="N107" s="166"/>
    </row>
    <row r="108" spans="1:14" s="3" customFormat="1" ht="21" customHeight="1">
      <c r="A108" s="156" t="s">
        <v>117</v>
      </c>
      <c r="B108" s="305"/>
      <c r="C108" s="158"/>
      <c r="D108" s="159"/>
      <c r="E108" s="230"/>
      <c r="F108" s="201"/>
      <c r="G108" s="202"/>
      <c r="H108" s="203"/>
      <c r="I108" s="163"/>
      <c r="J108" s="164"/>
      <c r="K108" s="163"/>
      <c r="L108" s="165"/>
      <c r="M108" s="165"/>
      <c r="N108" s="166"/>
    </row>
    <row r="109" spans="1:14" s="3" customFormat="1" ht="21" customHeight="1">
      <c r="A109" s="156" t="s">
        <v>118</v>
      </c>
      <c r="B109" s="305"/>
      <c r="C109" s="158"/>
      <c r="D109" s="159"/>
      <c r="E109" s="230"/>
      <c r="F109" s="201"/>
      <c r="G109" s="202"/>
      <c r="H109" s="203"/>
      <c r="I109" s="163"/>
      <c r="J109" s="164"/>
      <c r="K109" s="163"/>
      <c r="L109" s="165"/>
      <c r="M109" s="165"/>
      <c r="N109" s="166"/>
    </row>
    <row r="110" spans="1:14" s="3" customFormat="1" ht="21" customHeight="1">
      <c r="A110" s="156" t="s">
        <v>119</v>
      </c>
      <c r="B110" s="305"/>
      <c r="C110" s="158"/>
      <c r="D110" s="159"/>
      <c r="E110" s="230"/>
      <c r="F110" s="201"/>
      <c r="G110" s="202"/>
      <c r="H110" s="203"/>
      <c r="I110" s="163"/>
      <c r="J110" s="164"/>
      <c r="K110" s="163"/>
      <c r="L110" s="165"/>
      <c r="M110" s="165"/>
      <c r="N110" s="166"/>
    </row>
    <row r="111" spans="1:14" s="3" customFormat="1" ht="21" customHeight="1">
      <c r="A111" s="156" t="s">
        <v>120</v>
      </c>
      <c r="B111" s="305"/>
      <c r="C111" s="158"/>
      <c r="D111" s="159"/>
      <c r="E111" s="230"/>
      <c r="F111" s="201"/>
      <c r="G111" s="202"/>
      <c r="H111" s="203"/>
      <c r="I111" s="163"/>
      <c r="J111" s="164"/>
      <c r="K111" s="163"/>
      <c r="L111" s="165"/>
      <c r="M111" s="165"/>
      <c r="N111" s="166"/>
    </row>
    <row r="112" spans="1:14" s="3" customFormat="1" ht="21" customHeight="1">
      <c r="A112" s="156" t="s">
        <v>121</v>
      </c>
      <c r="B112" s="305"/>
      <c r="C112" s="158"/>
      <c r="D112" s="159"/>
      <c r="E112" s="230"/>
      <c r="F112" s="201"/>
      <c r="G112" s="202"/>
      <c r="H112" s="203"/>
      <c r="I112" s="163"/>
      <c r="J112" s="164"/>
      <c r="K112" s="163"/>
      <c r="L112" s="165"/>
      <c r="M112" s="165"/>
      <c r="N112" s="166"/>
    </row>
    <row r="113" spans="1:14" s="3" customFormat="1" ht="21" customHeight="1">
      <c r="A113" s="156" t="s">
        <v>122</v>
      </c>
      <c r="B113" s="305"/>
      <c r="C113" s="172"/>
      <c r="D113" s="197"/>
      <c r="E113" s="254"/>
      <c r="F113" s="201"/>
      <c r="G113" s="202"/>
      <c r="H113" s="203"/>
      <c r="I113" s="163"/>
      <c r="J113" s="164"/>
      <c r="K113" s="163"/>
      <c r="L113" s="198"/>
      <c r="M113" s="198"/>
      <c r="N113" s="166"/>
    </row>
    <row r="114" spans="1:14" s="3" customFormat="1" ht="21" customHeight="1">
      <c r="A114" s="156" t="s">
        <v>123</v>
      </c>
      <c r="B114" s="304"/>
      <c r="C114" s="158"/>
      <c r="D114" s="204"/>
      <c r="E114" s="255"/>
      <c r="F114" s="201"/>
      <c r="G114" s="202"/>
      <c r="H114" s="201"/>
      <c r="I114" s="163"/>
      <c r="J114" s="205"/>
      <c r="K114" s="163"/>
      <c r="L114" s="206"/>
      <c r="M114" s="206"/>
      <c r="N114" s="166"/>
    </row>
    <row r="115" spans="1:14" s="3" customFormat="1" ht="21" customHeight="1">
      <c r="A115" s="156" t="s">
        <v>124</v>
      </c>
      <c r="B115" s="304"/>
      <c r="C115" s="158"/>
      <c r="D115" s="159"/>
      <c r="E115" s="230"/>
      <c r="F115" s="201"/>
      <c r="G115" s="202"/>
      <c r="H115" s="203"/>
      <c r="I115" s="163"/>
      <c r="J115" s="164"/>
      <c r="K115" s="163"/>
      <c r="L115" s="165"/>
      <c r="M115" s="165"/>
      <c r="N115" s="166"/>
    </row>
    <row r="116" spans="1:14" s="3" customFormat="1" ht="21" customHeight="1">
      <c r="A116" s="156" t="s">
        <v>125</v>
      </c>
      <c r="B116" s="305"/>
      <c r="C116" s="168"/>
      <c r="D116" s="169"/>
      <c r="E116" s="231"/>
      <c r="F116" s="201"/>
      <c r="G116" s="202"/>
      <c r="H116" s="203"/>
      <c r="I116" s="163"/>
      <c r="J116" s="164"/>
      <c r="K116" s="163"/>
      <c r="L116" s="170"/>
      <c r="M116" s="170"/>
      <c r="N116" s="166"/>
    </row>
    <row r="117" spans="1:14" s="3" customFormat="1" ht="21" customHeight="1">
      <c r="A117" s="156" t="s">
        <v>126</v>
      </c>
      <c r="B117" s="305"/>
      <c r="C117" s="168"/>
      <c r="D117" s="169"/>
      <c r="E117" s="231"/>
      <c r="F117" s="201"/>
      <c r="G117" s="202"/>
      <c r="H117" s="203"/>
      <c r="I117" s="163"/>
      <c r="J117" s="164"/>
      <c r="K117" s="163"/>
      <c r="L117" s="170"/>
      <c r="M117" s="170"/>
      <c r="N117" s="166"/>
    </row>
    <row r="118" spans="1:14" s="3" customFormat="1" ht="21" customHeight="1">
      <c r="A118" s="156" t="s">
        <v>127</v>
      </c>
      <c r="B118" s="305"/>
      <c r="C118" s="168"/>
      <c r="D118" s="169"/>
      <c r="E118" s="231"/>
      <c r="F118" s="201"/>
      <c r="G118" s="202"/>
      <c r="H118" s="203"/>
      <c r="I118" s="163"/>
      <c r="J118" s="164"/>
      <c r="K118" s="199"/>
      <c r="L118" s="170"/>
      <c r="M118" s="170"/>
      <c r="N118" s="166"/>
    </row>
    <row r="119" spans="1:14" s="3" customFormat="1" ht="21" customHeight="1">
      <c r="A119" s="156" t="s">
        <v>128</v>
      </c>
      <c r="B119" s="305"/>
      <c r="C119" s="168"/>
      <c r="D119" s="169"/>
      <c r="E119" s="231"/>
      <c r="F119" s="201"/>
      <c r="G119" s="202"/>
      <c r="H119" s="207"/>
      <c r="I119" s="163"/>
      <c r="J119" s="164"/>
      <c r="K119" s="199"/>
      <c r="L119" s="170"/>
      <c r="M119" s="170"/>
      <c r="N119" s="166"/>
    </row>
    <row r="120" spans="1:14" s="3" customFormat="1" ht="21" customHeight="1">
      <c r="A120" s="156" t="s">
        <v>129</v>
      </c>
      <c r="B120" s="306"/>
      <c r="C120" s="194"/>
      <c r="D120" s="197"/>
      <c r="E120" s="254"/>
      <c r="F120" s="201"/>
      <c r="G120" s="202"/>
      <c r="H120" s="203"/>
      <c r="I120" s="163"/>
      <c r="J120" s="164"/>
      <c r="K120" s="163"/>
      <c r="L120" s="198"/>
      <c r="M120" s="198"/>
      <c r="N120" s="166"/>
    </row>
    <row r="121" spans="1:14" s="3" customFormat="1" ht="21" customHeight="1">
      <c r="A121" s="156" t="s">
        <v>130</v>
      </c>
      <c r="B121" s="306"/>
      <c r="C121" s="194"/>
      <c r="D121" s="195"/>
      <c r="E121" s="234"/>
      <c r="F121" s="201"/>
      <c r="G121" s="202"/>
      <c r="H121" s="203"/>
      <c r="I121" s="163"/>
      <c r="J121" s="164"/>
      <c r="K121" s="163"/>
      <c r="L121" s="196"/>
      <c r="M121" s="196"/>
      <c r="N121" s="166"/>
    </row>
    <row r="122" spans="1:14" s="3" customFormat="1" ht="21" customHeight="1">
      <c r="A122" s="156" t="s">
        <v>131</v>
      </c>
      <c r="B122" s="304"/>
      <c r="C122" s="172"/>
      <c r="D122" s="204"/>
      <c r="E122" s="255"/>
      <c r="F122" s="201"/>
      <c r="G122" s="202"/>
      <c r="H122" s="201"/>
      <c r="I122" s="163"/>
      <c r="J122" s="205"/>
      <c r="K122" s="163"/>
      <c r="L122" s="206"/>
      <c r="M122" s="206"/>
      <c r="N122" s="166"/>
    </row>
    <row r="123" spans="1:14" s="3" customFormat="1" ht="21" customHeight="1">
      <c r="A123" s="156" t="s">
        <v>132</v>
      </c>
      <c r="B123" s="305"/>
      <c r="C123" s="172"/>
      <c r="D123" s="159"/>
      <c r="E123" s="230"/>
      <c r="F123" s="201"/>
      <c r="G123" s="202"/>
      <c r="H123" s="207"/>
      <c r="I123" s="163"/>
      <c r="J123" s="164"/>
      <c r="K123" s="163"/>
      <c r="L123" s="165"/>
      <c r="M123" s="165"/>
      <c r="N123" s="166"/>
    </row>
    <row r="124" spans="1:14" s="3" customFormat="1" ht="21" customHeight="1">
      <c r="A124" s="156" t="s">
        <v>133</v>
      </c>
      <c r="B124" s="305"/>
      <c r="C124" s="158"/>
      <c r="D124" s="197"/>
      <c r="E124" s="254"/>
      <c r="F124" s="201"/>
      <c r="G124" s="202"/>
      <c r="H124" s="207"/>
      <c r="I124" s="163"/>
      <c r="J124" s="164"/>
      <c r="K124" s="163"/>
      <c r="L124" s="198"/>
      <c r="M124" s="198"/>
      <c r="N124" s="166"/>
    </row>
    <row r="125" spans="1:14" s="3" customFormat="1" ht="21" customHeight="1">
      <c r="A125" s="156" t="s">
        <v>134</v>
      </c>
      <c r="B125" s="305"/>
      <c r="C125" s="158"/>
      <c r="D125" s="197"/>
      <c r="E125" s="254"/>
      <c r="F125" s="201"/>
      <c r="G125" s="202"/>
      <c r="H125" s="207"/>
      <c r="I125" s="163"/>
      <c r="J125" s="164"/>
      <c r="K125" s="163"/>
      <c r="L125" s="198"/>
      <c r="M125" s="198"/>
      <c r="N125" s="166"/>
    </row>
    <row r="126" spans="1:14" s="3" customFormat="1" ht="21" customHeight="1">
      <c r="A126" s="156" t="s">
        <v>135</v>
      </c>
      <c r="B126" s="305"/>
      <c r="C126" s="158"/>
      <c r="D126" s="197"/>
      <c r="E126" s="254"/>
      <c r="F126" s="201"/>
      <c r="G126" s="202"/>
      <c r="H126" s="207"/>
      <c r="I126" s="163"/>
      <c r="J126" s="164"/>
      <c r="K126" s="163"/>
      <c r="L126" s="198"/>
      <c r="M126" s="198"/>
      <c r="N126" s="166"/>
    </row>
    <row r="127" spans="1:14" s="3" customFormat="1" ht="21" customHeight="1">
      <c r="A127" s="156" t="s">
        <v>136</v>
      </c>
      <c r="B127" s="305"/>
      <c r="C127" s="158"/>
      <c r="D127" s="197"/>
      <c r="E127" s="254"/>
      <c r="F127" s="201"/>
      <c r="G127" s="202"/>
      <c r="H127" s="207"/>
      <c r="I127" s="163"/>
      <c r="J127" s="164"/>
      <c r="K127" s="163"/>
      <c r="L127" s="198"/>
      <c r="M127" s="198"/>
      <c r="N127" s="166"/>
    </row>
    <row r="128" spans="1:14" s="3" customFormat="1" ht="21" customHeight="1">
      <c r="A128" s="156" t="s">
        <v>137</v>
      </c>
      <c r="B128" s="306"/>
      <c r="C128" s="158"/>
      <c r="D128" s="197"/>
      <c r="E128" s="254"/>
      <c r="F128" s="201"/>
      <c r="G128" s="202"/>
      <c r="H128" s="207"/>
      <c r="I128" s="163"/>
      <c r="J128" s="164"/>
      <c r="K128" s="163"/>
      <c r="L128" s="198"/>
      <c r="M128" s="198"/>
      <c r="N128" s="166"/>
    </row>
    <row r="129" spans="1:14" s="3" customFormat="1" ht="21" customHeight="1">
      <c r="A129" s="156" t="s">
        <v>138</v>
      </c>
      <c r="B129" s="305"/>
      <c r="C129" s="208"/>
      <c r="D129" s="197"/>
      <c r="E129" s="254"/>
      <c r="F129" s="201"/>
      <c r="G129" s="202"/>
      <c r="H129" s="207"/>
      <c r="I129" s="163"/>
      <c r="J129" s="164"/>
      <c r="K129" s="163"/>
      <c r="L129" s="198"/>
      <c r="M129" s="198"/>
      <c r="N129" s="166"/>
    </row>
    <row r="130" spans="1:14" s="3" customFormat="1" ht="21" customHeight="1">
      <c r="A130" s="156" t="s">
        <v>139</v>
      </c>
      <c r="B130" s="304"/>
      <c r="C130" s="158"/>
      <c r="D130" s="204"/>
      <c r="E130" s="255"/>
      <c r="F130" s="201"/>
      <c r="G130" s="202"/>
      <c r="H130" s="201"/>
      <c r="I130" s="163"/>
      <c r="J130" s="205"/>
      <c r="K130" s="163"/>
      <c r="L130" s="206"/>
      <c r="M130" s="206"/>
      <c r="N130" s="166"/>
    </row>
    <row r="131" spans="1:14" s="3" customFormat="1" ht="21" customHeight="1">
      <c r="A131" s="156" t="s">
        <v>140</v>
      </c>
      <c r="B131" s="304"/>
      <c r="C131" s="158"/>
      <c r="D131" s="159"/>
      <c r="E131" s="230"/>
      <c r="F131" s="201"/>
      <c r="G131" s="202"/>
      <c r="H131" s="203"/>
      <c r="I131" s="163"/>
      <c r="J131" s="164"/>
      <c r="K131" s="163"/>
      <c r="L131" s="165"/>
      <c r="M131" s="165"/>
      <c r="N131" s="166"/>
    </row>
    <row r="132" spans="1:14" s="3" customFormat="1" ht="21" customHeight="1">
      <c r="A132" s="156" t="s">
        <v>141</v>
      </c>
      <c r="B132" s="305"/>
      <c r="C132" s="168"/>
      <c r="D132" s="169"/>
      <c r="E132" s="231"/>
      <c r="F132" s="201"/>
      <c r="G132" s="202"/>
      <c r="H132" s="203"/>
      <c r="I132" s="163"/>
      <c r="J132" s="164"/>
      <c r="K132" s="163"/>
      <c r="L132" s="170"/>
      <c r="M132" s="170"/>
      <c r="N132" s="166"/>
    </row>
    <row r="133" spans="1:14" s="3" customFormat="1" ht="21" customHeight="1">
      <c r="A133" s="156" t="s">
        <v>142</v>
      </c>
      <c r="B133" s="306"/>
      <c r="C133" s="194"/>
      <c r="D133" s="195"/>
      <c r="E133" s="234"/>
      <c r="F133" s="201"/>
      <c r="G133" s="202"/>
      <c r="H133" s="203"/>
      <c r="I133" s="163"/>
      <c r="J133" s="164"/>
      <c r="K133" s="163"/>
      <c r="L133" s="196"/>
      <c r="M133" s="196"/>
      <c r="N133" s="166"/>
    </row>
    <row r="134" spans="1:14" s="3" customFormat="1" ht="21" customHeight="1">
      <c r="A134" s="156" t="s">
        <v>143</v>
      </c>
      <c r="B134" s="305"/>
      <c r="C134" s="172"/>
      <c r="D134" s="159"/>
      <c r="E134" s="230"/>
      <c r="F134" s="201"/>
      <c r="G134" s="202"/>
      <c r="H134" s="203"/>
      <c r="I134" s="163"/>
      <c r="J134" s="164"/>
      <c r="K134" s="163"/>
      <c r="L134" s="165"/>
      <c r="M134" s="165"/>
      <c r="N134" s="166"/>
    </row>
    <row r="135" spans="1:14" s="3" customFormat="1" ht="21" customHeight="1">
      <c r="A135" s="156" t="s">
        <v>144</v>
      </c>
      <c r="B135" s="305"/>
      <c r="C135" s="208"/>
      <c r="D135" s="197"/>
      <c r="E135" s="254"/>
      <c r="F135" s="201"/>
      <c r="G135" s="202"/>
      <c r="H135" s="203"/>
      <c r="I135" s="163"/>
      <c r="J135" s="164"/>
      <c r="K135" s="163"/>
      <c r="L135" s="198"/>
      <c r="M135" s="198"/>
      <c r="N135" s="166"/>
    </row>
    <row r="136" spans="1:14" s="3" customFormat="1" ht="21" customHeight="1">
      <c r="A136" s="156" t="s">
        <v>145</v>
      </c>
      <c r="B136" s="306"/>
      <c r="C136" s="194"/>
      <c r="D136" s="197"/>
      <c r="E136" s="254"/>
      <c r="F136" s="201"/>
      <c r="G136" s="202"/>
      <c r="H136" s="203"/>
      <c r="I136" s="163"/>
      <c r="J136" s="164"/>
      <c r="K136" s="163"/>
      <c r="L136" s="198"/>
      <c r="M136" s="198"/>
      <c r="N136" s="166"/>
    </row>
    <row r="137" spans="1:14" s="3" customFormat="1" ht="21" customHeight="1">
      <c r="A137" s="156" t="s">
        <v>146</v>
      </c>
      <c r="B137" s="305"/>
      <c r="C137" s="208"/>
      <c r="D137" s="197"/>
      <c r="E137" s="254"/>
      <c r="F137" s="201"/>
      <c r="G137" s="202"/>
      <c r="H137" s="203"/>
      <c r="I137" s="163"/>
      <c r="J137" s="164"/>
      <c r="K137" s="163"/>
      <c r="L137" s="198"/>
      <c r="M137" s="198"/>
      <c r="N137" s="166"/>
    </row>
    <row r="138" spans="1:14" s="3" customFormat="1" ht="21" customHeight="1">
      <c r="A138" s="156" t="s">
        <v>147</v>
      </c>
      <c r="B138" s="304"/>
      <c r="C138" s="158"/>
      <c r="D138" s="204"/>
      <c r="E138" s="255"/>
      <c r="F138" s="201"/>
      <c r="G138" s="202"/>
      <c r="H138" s="201"/>
      <c r="I138" s="163"/>
      <c r="J138" s="205"/>
      <c r="K138" s="163"/>
      <c r="L138" s="206"/>
      <c r="M138" s="206"/>
      <c r="N138" s="166"/>
    </row>
    <row r="139" spans="1:14" s="3" customFormat="1" ht="21" customHeight="1">
      <c r="A139" s="156" t="s">
        <v>148</v>
      </c>
      <c r="B139" s="305"/>
      <c r="C139" s="209"/>
      <c r="D139" s="195"/>
      <c r="E139" s="234"/>
      <c r="F139" s="201"/>
      <c r="G139" s="202"/>
      <c r="H139" s="203"/>
      <c r="I139" s="163"/>
      <c r="J139" s="164"/>
      <c r="K139" s="163"/>
      <c r="L139" s="196"/>
      <c r="M139" s="196"/>
      <c r="N139" s="166"/>
    </row>
    <row r="140" spans="1:14" s="3" customFormat="1" ht="21" customHeight="1">
      <c r="A140" s="156" t="s">
        <v>149</v>
      </c>
      <c r="B140" s="306"/>
      <c r="C140" s="194"/>
      <c r="D140" s="210"/>
      <c r="E140" s="144"/>
      <c r="F140" s="201"/>
      <c r="G140" s="202"/>
      <c r="H140" s="203"/>
      <c r="I140" s="211"/>
      <c r="J140" s="212"/>
      <c r="K140" s="211"/>
      <c r="L140" s="213"/>
      <c r="M140" s="213"/>
      <c r="N140" s="166"/>
    </row>
    <row r="141" spans="1:14" s="3" customFormat="1" ht="21" customHeight="1">
      <c r="A141" s="156" t="s">
        <v>150</v>
      </c>
      <c r="B141" s="312"/>
      <c r="C141" s="12"/>
      <c r="D141" s="210"/>
      <c r="E141" s="144"/>
      <c r="F141" s="201"/>
      <c r="G141" s="202"/>
      <c r="H141" s="203"/>
      <c r="I141" s="211"/>
      <c r="J141" s="212"/>
      <c r="K141" s="211"/>
      <c r="L141" s="213"/>
      <c r="M141" s="213"/>
      <c r="N141" s="166"/>
    </row>
    <row r="142" spans="1:14" s="3" customFormat="1" ht="21" customHeight="1">
      <c r="A142" s="156" t="s">
        <v>151</v>
      </c>
      <c r="B142" s="306"/>
      <c r="C142" s="194"/>
      <c r="D142" s="210"/>
      <c r="E142" s="144"/>
      <c r="F142" s="201"/>
      <c r="G142" s="202"/>
      <c r="H142" s="203"/>
      <c r="I142" s="211"/>
      <c r="J142" s="212"/>
      <c r="K142" s="211"/>
      <c r="L142" s="213"/>
      <c r="M142" s="213"/>
      <c r="N142" s="166"/>
    </row>
    <row r="143" spans="1:14" s="3" customFormat="1" ht="21" customHeight="1">
      <c r="A143" s="156" t="s">
        <v>152</v>
      </c>
      <c r="B143" s="312"/>
      <c r="C143" s="12"/>
      <c r="D143" s="210"/>
      <c r="E143" s="144"/>
      <c r="F143" s="201"/>
      <c r="G143" s="202"/>
      <c r="H143" s="203"/>
      <c r="I143" s="211"/>
      <c r="J143" s="212"/>
      <c r="K143" s="211"/>
      <c r="L143" s="213"/>
      <c r="M143" s="213"/>
      <c r="N143" s="166"/>
    </row>
    <row r="144" spans="1:14" s="3" customFormat="1" ht="21" customHeight="1">
      <c r="A144" s="156" t="s">
        <v>153</v>
      </c>
      <c r="B144" s="306"/>
      <c r="C144" s="194"/>
      <c r="D144" s="210"/>
      <c r="E144" s="144"/>
      <c r="F144" s="201"/>
      <c r="G144" s="202"/>
      <c r="H144" s="203"/>
      <c r="I144" s="211"/>
      <c r="J144" s="212"/>
      <c r="K144" s="211"/>
      <c r="L144" s="213"/>
      <c r="M144" s="213"/>
      <c r="N144" s="166"/>
    </row>
    <row r="145" spans="1:14" s="3" customFormat="1" ht="21" customHeight="1">
      <c r="A145" s="156" t="s">
        <v>154</v>
      </c>
      <c r="B145" s="312"/>
      <c r="C145" s="12"/>
      <c r="D145" s="210"/>
      <c r="E145" s="144"/>
      <c r="F145" s="201"/>
      <c r="G145" s="202"/>
      <c r="H145" s="203"/>
      <c r="I145" s="211"/>
      <c r="J145" s="212"/>
      <c r="K145" s="211"/>
      <c r="L145" s="213"/>
      <c r="M145" s="213"/>
      <c r="N145" s="215"/>
    </row>
    <row r="146" spans="1:14" s="3" customFormat="1" ht="21" customHeight="1">
      <c r="A146" s="156" t="s">
        <v>177</v>
      </c>
      <c r="B146" s="304"/>
      <c r="C146" s="158"/>
      <c r="D146" s="204"/>
      <c r="E146" s="255"/>
      <c r="F146" s="201"/>
      <c r="G146" s="202"/>
      <c r="H146" s="201"/>
      <c r="I146" s="163"/>
      <c r="J146" s="205"/>
      <c r="K146" s="163"/>
      <c r="L146" s="206"/>
      <c r="M146" s="206"/>
      <c r="N146" s="166"/>
    </row>
    <row r="147" spans="1:14" s="112" customFormat="1">
      <c r="A147" s="216"/>
      <c r="B147" s="313"/>
      <c r="C147" s="218"/>
      <c r="D147" s="219"/>
      <c r="E147" s="220"/>
      <c r="F147" s="221"/>
      <c r="G147" s="222"/>
      <c r="L147" s="223"/>
      <c r="M147" s="223"/>
      <c r="N147" s="224"/>
    </row>
    <row r="148" spans="1:14" s="112" customFormat="1">
      <c r="A148" s="216"/>
      <c r="B148" s="313"/>
      <c r="C148" s="218"/>
      <c r="D148" s="219"/>
      <c r="E148" s="220"/>
      <c r="F148" s="221"/>
      <c r="G148" s="222"/>
      <c r="L148" s="223"/>
      <c r="M148" s="223"/>
      <c r="N148" s="224"/>
    </row>
    <row r="149" spans="1:14" s="112" customFormat="1">
      <c r="A149" s="216"/>
      <c r="B149" s="313"/>
      <c r="C149" s="218"/>
      <c r="D149" s="219"/>
      <c r="E149" s="220"/>
      <c r="F149" s="221"/>
      <c r="G149" s="222"/>
      <c r="L149" s="223"/>
      <c r="M149" s="223"/>
      <c r="N149" s="224"/>
    </row>
    <row r="150" spans="1:14" s="112" customFormat="1">
      <c r="A150" s="216"/>
      <c r="B150" s="313"/>
      <c r="C150" s="218"/>
      <c r="D150" s="219"/>
      <c r="E150" s="220"/>
      <c r="F150" s="221"/>
      <c r="G150" s="222"/>
      <c r="L150" s="223"/>
      <c r="M150" s="223"/>
      <c r="N150" s="224"/>
    </row>
    <row r="151" spans="1:14" s="112" customFormat="1">
      <c r="A151" s="216"/>
      <c r="B151" s="313"/>
      <c r="C151" s="218"/>
      <c r="D151" s="219"/>
      <c r="E151" s="220"/>
      <c r="F151" s="221"/>
      <c r="G151" s="222"/>
      <c r="L151" s="223"/>
      <c r="M151" s="223"/>
      <c r="N151" s="224"/>
    </row>
    <row r="152" spans="1:14" s="112" customFormat="1">
      <c r="A152" s="216"/>
      <c r="B152" s="313"/>
      <c r="C152" s="218"/>
      <c r="D152" s="219"/>
      <c r="E152" s="220"/>
      <c r="F152" s="221"/>
      <c r="G152" s="222"/>
      <c r="L152" s="223"/>
      <c r="M152" s="223"/>
      <c r="N152" s="224"/>
    </row>
    <row r="153" spans="1:14" s="112" customFormat="1">
      <c r="A153" s="216"/>
      <c r="B153" s="313"/>
      <c r="C153" s="218"/>
      <c r="D153" s="219"/>
      <c r="E153" s="220"/>
      <c r="F153" s="221"/>
      <c r="G153" s="222"/>
      <c r="L153" s="223"/>
      <c r="M153" s="223"/>
      <c r="N153" s="224"/>
    </row>
    <row r="154" spans="1:14" s="112" customFormat="1">
      <c r="A154" s="216"/>
      <c r="B154" s="313"/>
      <c r="C154" s="218"/>
      <c r="D154" s="219"/>
      <c r="E154" s="220"/>
      <c r="F154" s="221"/>
      <c r="G154" s="222"/>
      <c r="L154" s="223"/>
      <c r="M154" s="223"/>
      <c r="N154" s="224"/>
    </row>
    <row r="155" spans="1:14" s="112" customFormat="1">
      <c r="A155" s="216"/>
      <c r="B155" s="313"/>
      <c r="C155" s="218"/>
      <c r="D155" s="219"/>
      <c r="E155" s="220"/>
      <c r="F155" s="221"/>
      <c r="G155" s="222"/>
      <c r="L155" s="223"/>
      <c r="M155" s="223"/>
      <c r="N155" s="224"/>
    </row>
    <row r="156" spans="1:14" s="112" customFormat="1">
      <c r="A156" s="216"/>
      <c r="B156" s="313"/>
      <c r="C156" s="218"/>
      <c r="D156" s="219"/>
      <c r="E156" s="220"/>
      <c r="F156" s="221"/>
      <c r="G156" s="222"/>
      <c r="L156" s="223"/>
      <c r="M156" s="223"/>
      <c r="N156" s="224"/>
    </row>
    <row r="157" spans="1:14" s="112" customFormat="1">
      <c r="A157" s="216"/>
      <c r="B157" s="313"/>
      <c r="C157" s="218"/>
      <c r="D157" s="219"/>
      <c r="E157" s="220"/>
      <c r="F157" s="221"/>
      <c r="G157" s="222"/>
      <c r="L157" s="223"/>
      <c r="M157" s="223"/>
      <c r="N157" s="224"/>
    </row>
    <row r="158" spans="1:14" s="112" customFormat="1">
      <c r="A158" s="216"/>
      <c r="B158" s="313"/>
      <c r="C158" s="218"/>
      <c r="D158" s="219"/>
      <c r="E158" s="220"/>
      <c r="F158" s="221"/>
      <c r="G158" s="222"/>
      <c r="L158" s="223"/>
      <c r="M158" s="223"/>
      <c r="N158" s="224"/>
    </row>
    <row r="159" spans="1:14" s="112" customFormat="1">
      <c r="A159" s="216"/>
      <c r="B159" s="313"/>
      <c r="C159" s="218"/>
      <c r="D159" s="219"/>
      <c r="E159" s="220"/>
      <c r="F159" s="221"/>
      <c r="G159" s="222"/>
      <c r="L159" s="223"/>
      <c r="M159" s="223"/>
      <c r="N159" s="224"/>
    </row>
    <row r="160" spans="1:14" s="112" customFormat="1">
      <c r="A160" s="216"/>
      <c r="B160" s="313"/>
      <c r="C160" s="218"/>
      <c r="D160" s="219"/>
      <c r="E160" s="220"/>
      <c r="F160" s="221"/>
      <c r="G160" s="222"/>
      <c r="L160" s="223"/>
      <c r="M160" s="223"/>
      <c r="N160" s="224"/>
    </row>
    <row r="161" spans="1:14" s="112" customFormat="1">
      <c r="A161" s="216"/>
      <c r="B161" s="313"/>
      <c r="C161" s="218"/>
      <c r="D161" s="219"/>
      <c r="E161" s="220"/>
      <c r="F161" s="221"/>
      <c r="G161" s="222"/>
      <c r="L161" s="223"/>
      <c r="M161" s="223"/>
      <c r="N161" s="224"/>
    </row>
    <row r="162" spans="1:14" s="112" customFormat="1">
      <c r="A162" s="216"/>
      <c r="B162" s="313"/>
      <c r="C162" s="218"/>
      <c r="D162" s="219"/>
      <c r="E162" s="220"/>
      <c r="F162" s="221"/>
      <c r="G162" s="222"/>
      <c r="L162" s="223"/>
      <c r="M162" s="223"/>
      <c r="N162" s="224"/>
    </row>
    <row r="163" spans="1:14" s="112" customFormat="1">
      <c r="A163" s="216"/>
      <c r="B163" s="313"/>
      <c r="C163" s="218"/>
      <c r="D163" s="219"/>
      <c r="E163" s="220"/>
      <c r="F163" s="221"/>
      <c r="G163" s="222"/>
      <c r="L163" s="223"/>
      <c r="M163" s="223"/>
      <c r="N163" s="224"/>
    </row>
    <row r="164" spans="1:14" s="112" customFormat="1">
      <c r="A164" s="216"/>
      <c r="B164" s="313"/>
      <c r="C164" s="218"/>
      <c r="D164" s="219"/>
      <c r="E164" s="220"/>
      <c r="F164" s="221"/>
      <c r="G164" s="222"/>
      <c r="L164" s="223"/>
      <c r="M164" s="223"/>
      <c r="N164" s="224"/>
    </row>
    <row r="165" spans="1:14" s="112" customFormat="1">
      <c r="A165" s="216"/>
      <c r="B165" s="313"/>
      <c r="C165" s="218"/>
      <c r="D165" s="219"/>
      <c r="E165" s="220"/>
      <c r="F165" s="221"/>
      <c r="G165" s="222"/>
      <c r="L165" s="223"/>
      <c r="M165" s="223"/>
      <c r="N165" s="224"/>
    </row>
    <row r="166" spans="1:14" s="112" customFormat="1">
      <c r="A166" s="216"/>
      <c r="B166" s="313"/>
      <c r="C166" s="218"/>
      <c r="D166" s="219"/>
      <c r="E166" s="220"/>
      <c r="F166" s="221"/>
      <c r="G166" s="222"/>
      <c r="L166" s="223"/>
      <c r="M166" s="223"/>
      <c r="N166" s="224"/>
    </row>
    <row r="167" spans="1:14" s="112" customFormat="1">
      <c r="A167" s="216"/>
      <c r="B167" s="313"/>
      <c r="C167" s="218"/>
      <c r="D167" s="219"/>
      <c r="E167" s="220"/>
      <c r="F167" s="221"/>
      <c r="G167" s="222"/>
      <c r="L167" s="223"/>
      <c r="M167" s="223"/>
      <c r="N167" s="224"/>
    </row>
    <row r="168" spans="1:14" s="112" customFormat="1">
      <c r="A168" s="216"/>
      <c r="B168" s="313"/>
      <c r="C168" s="218"/>
      <c r="D168" s="219"/>
      <c r="E168" s="220"/>
      <c r="F168" s="221"/>
      <c r="G168" s="222"/>
      <c r="L168" s="223"/>
      <c r="M168" s="223"/>
      <c r="N168" s="224"/>
    </row>
    <row r="169" spans="1:14" s="112" customFormat="1">
      <c r="A169" s="216"/>
      <c r="B169" s="313"/>
      <c r="C169" s="218"/>
      <c r="D169" s="219"/>
      <c r="E169" s="220"/>
      <c r="F169" s="221"/>
      <c r="G169" s="222"/>
      <c r="L169" s="223"/>
      <c r="M169" s="223"/>
      <c r="N169" s="224"/>
    </row>
    <row r="170" spans="1:14" s="112" customFormat="1">
      <c r="A170" s="216"/>
      <c r="B170" s="313"/>
      <c r="C170" s="218"/>
      <c r="D170" s="219"/>
      <c r="E170" s="220"/>
      <c r="F170" s="221"/>
      <c r="G170" s="222"/>
      <c r="L170" s="223"/>
      <c r="M170" s="223"/>
      <c r="N170" s="224"/>
    </row>
    <row r="171" spans="1:14" s="112" customFormat="1">
      <c r="A171" s="216"/>
      <c r="B171" s="313"/>
      <c r="C171" s="218"/>
      <c r="D171" s="219"/>
      <c r="E171" s="220"/>
      <c r="F171" s="221"/>
      <c r="G171" s="222"/>
      <c r="L171" s="223"/>
      <c r="M171" s="223"/>
      <c r="N171" s="224"/>
    </row>
    <row r="172" spans="1:14" s="112" customFormat="1">
      <c r="A172" s="216"/>
      <c r="B172" s="313"/>
      <c r="C172" s="218"/>
      <c r="D172" s="219"/>
      <c r="E172" s="220"/>
      <c r="F172" s="221"/>
      <c r="G172" s="222"/>
      <c r="L172" s="223"/>
      <c r="M172" s="223"/>
      <c r="N172" s="224"/>
    </row>
    <row r="173" spans="1:14" s="112" customFormat="1">
      <c r="A173" s="216"/>
      <c r="B173" s="313"/>
      <c r="C173" s="218"/>
      <c r="D173" s="219"/>
      <c r="E173" s="220"/>
      <c r="F173" s="221"/>
      <c r="G173" s="222"/>
      <c r="L173" s="223"/>
      <c r="M173" s="223"/>
      <c r="N173" s="224"/>
    </row>
    <row r="174" spans="1:14" s="112" customFormat="1">
      <c r="A174" s="216"/>
      <c r="B174" s="313"/>
      <c r="C174" s="218"/>
      <c r="D174" s="219"/>
      <c r="E174" s="220"/>
      <c r="F174" s="221"/>
      <c r="G174" s="222"/>
      <c r="L174" s="223"/>
      <c r="M174" s="223"/>
      <c r="N174" s="224"/>
    </row>
    <row r="175" spans="1:14" s="112" customFormat="1">
      <c r="A175" s="216"/>
      <c r="B175" s="313"/>
      <c r="C175" s="218"/>
      <c r="D175" s="219"/>
      <c r="E175" s="220"/>
      <c r="F175" s="221"/>
      <c r="G175" s="222"/>
      <c r="L175" s="223"/>
      <c r="M175" s="223"/>
      <c r="N175" s="224"/>
    </row>
    <row r="176" spans="1:14" s="112" customFormat="1">
      <c r="A176" s="216"/>
      <c r="B176" s="313"/>
      <c r="C176" s="218"/>
      <c r="D176" s="219"/>
      <c r="E176" s="220"/>
      <c r="F176" s="221"/>
      <c r="G176" s="222"/>
      <c r="L176" s="223"/>
      <c r="M176" s="223"/>
      <c r="N176" s="224"/>
    </row>
    <row r="177" spans="1:14" s="112" customFormat="1">
      <c r="A177" s="216"/>
      <c r="B177" s="313"/>
      <c r="C177" s="218"/>
      <c r="D177" s="219"/>
      <c r="E177" s="220"/>
      <c r="F177" s="221"/>
      <c r="G177" s="222"/>
      <c r="L177" s="223"/>
      <c r="M177" s="223"/>
      <c r="N177" s="224"/>
    </row>
    <row r="178" spans="1:14" s="112" customFormat="1">
      <c r="A178" s="216"/>
      <c r="B178" s="313"/>
      <c r="C178" s="218"/>
      <c r="D178" s="219"/>
      <c r="E178" s="220"/>
      <c r="F178" s="221"/>
      <c r="G178" s="222"/>
      <c r="L178" s="223"/>
      <c r="M178" s="223"/>
      <c r="N178" s="224"/>
    </row>
    <row r="179" spans="1:14" s="112" customFormat="1">
      <c r="A179" s="216"/>
      <c r="B179" s="313"/>
      <c r="C179" s="218"/>
      <c r="D179" s="219"/>
      <c r="E179" s="220"/>
      <c r="F179" s="221"/>
      <c r="G179" s="222"/>
      <c r="L179" s="223"/>
      <c r="M179" s="223"/>
      <c r="N179" s="224"/>
    </row>
    <row r="180" spans="1:14" s="112" customFormat="1">
      <c r="A180" s="216"/>
      <c r="B180" s="313"/>
      <c r="C180" s="218"/>
      <c r="D180" s="219"/>
      <c r="E180" s="220"/>
      <c r="F180" s="221"/>
      <c r="G180" s="222"/>
      <c r="L180" s="223"/>
      <c r="M180" s="223"/>
      <c r="N180" s="224"/>
    </row>
    <row r="181" spans="1:14" s="112" customFormat="1">
      <c r="A181" s="216"/>
      <c r="B181" s="313"/>
      <c r="C181" s="218"/>
      <c r="D181" s="219"/>
      <c r="E181" s="220"/>
      <c r="F181" s="221"/>
      <c r="G181" s="222"/>
      <c r="L181" s="223"/>
      <c r="M181" s="223"/>
      <c r="N181" s="224"/>
    </row>
    <row r="182" spans="1:14" s="112" customFormat="1">
      <c r="A182" s="216"/>
      <c r="B182" s="313"/>
      <c r="C182" s="218"/>
      <c r="D182" s="219"/>
      <c r="E182" s="220"/>
      <c r="F182" s="221"/>
      <c r="G182" s="222"/>
      <c r="L182" s="223"/>
      <c r="M182" s="223"/>
      <c r="N182" s="224"/>
    </row>
    <row r="183" spans="1:14" s="112" customFormat="1">
      <c r="A183" s="216"/>
      <c r="B183" s="313"/>
      <c r="C183" s="218"/>
      <c r="D183" s="219"/>
      <c r="E183" s="220"/>
      <c r="F183" s="221"/>
      <c r="G183" s="222"/>
      <c r="L183" s="223"/>
      <c r="M183" s="223"/>
      <c r="N183" s="224"/>
    </row>
    <row r="184" spans="1:14" s="112" customFormat="1">
      <c r="A184" s="216"/>
      <c r="B184" s="313"/>
      <c r="C184" s="218"/>
      <c r="D184" s="219"/>
      <c r="E184" s="220"/>
      <c r="F184" s="221"/>
      <c r="G184" s="222"/>
      <c r="L184" s="223"/>
      <c r="M184" s="223"/>
      <c r="N184" s="224"/>
    </row>
    <row r="185" spans="1:14" s="112" customFormat="1">
      <c r="A185" s="216"/>
      <c r="B185" s="313"/>
      <c r="C185" s="218"/>
      <c r="D185" s="219"/>
      <c r="E185" s="220"/>
      <c r="F185" s="221"/>
      <c r="G185" s="222"/>
      <c r="L185" s="223"/>
      <c r="M185" s="223"/>
      <c r="N185" s="224"/>
    </row>
    <row r="186" spans="1:14" s="112" customFormat="1">
      <c r="A186" s="216"/>
      <c r="B186" s="313"/>
      <c r="C186" s="218"/>
      <c r="D186" s="219"/>
      <c r="E186" s="220"/>
      <c r="F186" s="221"/>
      <c r="G186" s="222"/>
      <c r="L186" s="223"/>
      <c r="M186" s="223"/>
      <c r="N186" s="224"/>
    </row>
    <row r="187" spans="1:14" s="112" customFormat="1">
      <c r="A187" s="216"/>
      <c r="B187" s="313"/>
      <c r="C187" s="218"/>
      <c r="D187" s="219"/>
      <c r="E187" s="220"/>
      <c r="F187" s="221"/>
      <c r="G187" s="222"/>
      <c r="L187" s="223"/>
      <c r="M187" s="223"/>
      <c r="N187" s="224"/>
    </row>
    <row r="188" spans="1:14" s="112" customFormat="1">
      <c r="A188" s="216"/>
      <c r="B188" s="313"/>
      <c r="C188" s="218"/>
      <c r="D188" s="219"/>
      <c r="E188" s="220"/>
      <c r="F188" s="221"/>
      <c r="G188" s="222"/>
      <c r="L188" s="223"/>
      <c r="M188" s="223"/>
      <c r="N188" s="224"/>
    </row>
    <row r="189" spans="1:14" s="112" customFormat="1">
      <c r="A189" s="216"/>
      <c r="B189" s="313"/>
      <c r="C189" s="218"/>
      <c r="D189" s="219"/>
      <c r="E189" s="220"/>
      <c r="F189" s="221"/>
      <c r="G189" s="222"/>
      <c r="L189" s="223"/>
      <c r="M189" s="223"/>
      <c r="N189" s="224"/>
    </row>
    <row r="190" spans="1:14" s="112" customFormat="1">
      <c r="A190" s="216"/>
      <c r="B190" s="313"/>
      <c r="C190" s="218"/>
      <c r="D190" s="219"/>
      <c r="E190" s="220"/>
      <c r="F190" s="221"/>
      <c r="G190" s="222"/>
      <c r="L190" s="223"/>
      <c r="M190" s="223"/>
      <c r="N190" s="224"/>
    </row>
    <row r="191" spans="1:14" s="112" customFormat="1">
      <c r="A191" s="216"/>
      <c r="B191" s="313"/>
      <c r="C191" s="218"/>
      <c r="D191" s="219"/>
      <c r="E191" s="220"/>
      <c r="F191" s="221"/>
      <c r="G191" s="222"/>
      <c r="L191" s="223"/>
      <c r="M191" s="223"/>
      <c r="N191" s="224"/>
    </row>
    <row r="192" spans="1:14" s="112" customFormat="1">
      <c r="A192" s="216"/>
      <c r="B192" s="313"/>
      <c r="C192" s="218"/>
      <c r="D192" s="219"/>
      <c r="E192" s="220"/>
      <c r="F192" s="221"/>
      <c r="G192" s="222"/>
      <c r="L192" s="223"/>
      <c r="M192" s="223"/>
      <c r="N192" s="224"/>
    </row>
    <row r="193" spans="1:14" s="112" customFormat="1">
      <c r="A193" s="216"/>
      <c r="B193" s="313"/>
      <c r="C193" s="218"/>
      <c r="D193" s="219"/>
      <c r="E193" s="220"/>
      <c r="F193" s="221"/>
      <c r="G193" s="222"/>
      <c r="L193" s="223"/>
      <c r="M193" s="223"/>
      <c r="N193" s="224"/>
    </row>
    <row r="194" spans="1:14" s="112" customFormat="1">
      <c r="A194" s="216"/>
      <c r="B194" s="313"/>
      <c r="C194" s="218"/>
      <c r="D194" s="219"/>
      <c r="E194" s="220"/>
      <c r="F194" s="221"/>
      <c r="G194" s="222"/>
      <c r="L194" s="223"/>
      <c r="M194" s="223"/>
      <c r="N194" s="224"/>
    </row>
    <row r="195" spans="1:14" s="112" customFormat="1">
      <c r="A195" s="216"/>
      <c r="B195" s="313"/>
      <c r="C195" s="218"/>
      <c r="D195" s="219"/>
      <c r="E195" s="220"/>
      <c r="F195" s="221"/>
      <c r="G195" s="222"/>
      <c r="L195" s="223"/>
      <c r="M195" s="223"/>
      <c r="N195" s="224"/>
    </row>
    <row r="196" spans="1:14" s="112" customFormat="1">
      <c r="A196" s="216"/>
      <c r="B196" s="313"/>
      <c r="C196" s="218"/>
      <c r="D196" s="219"/>
      <c r="E196" s="220"/>
      <c r="F196" s="221"/>
      <c r="G196" s="222"/>
      <c r="L196" s="223"/>
      <c r="M196" s="223"/>
      <c r="N196" s="224"/>
    </row>
    <row r="197" spans="1:14" s="112" customFormat="1">
      <c r="A197" s="216"/>
      <c r="B197" s="217"/>
      <c r="C197" s="218"/>
      <c r="D197" s="219"/>
      <c r="E197" s="220"/>
      <c r="F197" s="221"/>
      <c r="G197" s="222"/>
      <c r="L197" s="223"/>
      <c r="M197" s="223"/>
      <c r="N197" s="224"/>
    </row>
    <row r="198" spans="1:14" s="112" customFormat="1">
      <c r="A198" s="216"/>
      <c r="B198" s="217"/>
      <c r="C198" s="218"/>
      <c r="D198" s="219"/>
      <c r="E198" s="220"/>
      <c r="F198" s="221"/>
      <c r="G198" s="222"/>
      <c r="L198" s="223"/>
      <c r="M198" s="223"/>
      <c r="N198" s="224"/>
    </row>
    <row r="199" spans="1:14" s="112" customFormat="1">
      <c r="A199" s="216"/>
      <c r="B199" s="217"/>
      <c r="C199" s="218"/>
      <c r="D199" s="219"/>
      <c r="E199" s="220"/>
      <c r="F199" s="221"/>
      <c r="G199" s="222"/>
      <c r="L199" s="223"/>
      <c r="M199" s="223"/>
      <c r="N199" s="224"/>
    </row>
    <row r="200" spans="1:14" s="112" customFormat="1">
      <c r="A200" s="216"/>
      <c r="B200" s="217"/>
      <c r="C200" s="218"/>
      <c r="D200" s="219"/>
      <c r="E200" s="220"/>
      <c r="F200" s="221"/>
      <c r="G200" s="222"/>
      <c r="L200" s="223"/>
      <c r="M200" s="223"/>
      <c r="N200" s="224"/>
    </row>
    <row r="201" spans="1:14" s="112" customFormat="1">
      <c r="A201" s="216"/>
      <c r="B201" s="217"/>
      <c r="C201" s="218"/>
      <c r="D201" s="219"/>
      <c r="E201" s="220"/>
      <c r="F201" s="221"/>
      <c r="G201" s="222"/>
      <c r="L201" s="223"/>
      <c r="M201" s="223"/>
      <c r="N201" s="224"/>
    </row>
    <row r="202" spans="1:14" s="112" customFormat="1">
      <c r="A202" s="216"/>
      <c r="B202" s="217"/>
      <c r="C202" s="218"/>
      <c r="D202" s="219"/>
      <c r="E202" s="220"/>
      <c r="F202" s="221"/>
      <c r="G202" s="222"/>
      <c r="L202" s="223"/>
      <c r="M202" s="223"/>
      <c r="N202" s="224"/>
    </row>
    <row r="203" spans="1:14" s="112" customFormat="1">
      <c r="A203" s="216"/>
      <c r="B203" s="217"/>
      <c r="C203" s="218"/>
      <c r="D203" s="219"/>
      <c r="E203" s="220"/>
      <c r="F203" s="221"/>
      <c r="G203" s="222"/>
      <c r="L203" s="223"/>
      <c r="M203" s="223"/>
      <c r="N203" s="224"/>
    </row>
    <row r="204" spans="1:14" s="112" customFormat="1">
      <c r="A204" s="216"/>
      <c r="B204" s="217"/>
      <c r="C204" s="218"/>
      <c r="D204" s="219"/>
      <c r="E204" s="220"/>
      <c r="F204" s="221"/>
      <c r="G204" s="222"/>
      <c r="L204" s="223"/>
      <c r="M204" s="223"/>
      <c r="N204" s="224"/>
    </row>
    <row r="205" spans="1:14" s="112" customFormat="1">
      <c r="A205" s="216"/>
      <c r="B205" s="217"/>
      <c r="C205" s="218"/>
      <c r="D205" s="219"/>
      <c r="E205" s="220"/>
      <c r="F205" s="221"/>
      <c r="G205" s="222"/>
      <c r="L205" s="223"/>
      <c r="M205" s="223"/>
      <c r="N205" s="224"/>
    </row>
    <row r="206" spans="1:14" s="112" customFormat="1">
      <c r="A206" s="216"/>
      <c r="B206" s="217"/>
      <c r="C206" s="218"/>
      <c r="D206" s="219"/>
      <c r="E206" s="220"/>
      <c r="F206" s="221"/>
      <c r="G206" s="222"/>
      <c r="L206" s="223"/>
      <c r="M206" s="223"/>
      <c r="N206" s="224"/>
    </row>
    <row r="207" spans="1:14" s="112" customFormat="1">
      <c r="A207" s="216"/>
      <c r="B207" s="217"/>
      <c r="C207" s="218"/>
      <c r="D207" s="219"/>
      <c r="E207" s="220"/>
      <c r="F207" s="221"/>
      <c r="G207" s="222"/>
      <c r="L207" s="223"/>
      <c r="M207" s="223"/>
      <c r="N207" s="224"/>
    </row>
    <row r="208" spans="1:14" s="112" customFormat="1">
      <c r="A208" s="216"/>
      <c r="B208" s="217"/>
      <c r="C208" s="218"/>
      <c r="D208" s="219"/>
      <c r="E208" s="220"/>
      <c r="F208" s="221"/>
      <c r="G208" s="222"/>
      <c r="L208" s="223"/>
      <c r="M208" s="223"/>
      <c r="N208" s="224"/>
    </row>
    <row r="209" spans="1:14" s="112" customFormat="1">
      <c r="A209" s="216"/>
      <c r="B209" s="217"/>
      <c r="C209" s="218"/>
      <c r="D209" s="219"/>
      <c r="E209" s="220"/>
      <c r="F209" s="221"/>
      <c r="G209" s="222"/>
      <c r="L209" s="223"/>
      <c r="M209" s="223"/>
      <c r="N209" s="224"/>
    </row>
    <row r="210" spans="1:14" s="112" customFormat="1">
      <c r="A210" s="216"/>
      <c r="B210" s="217"/>
      <c r="C210" s="218"/>
      <c r="D210" s="219"/>
      <c r="E210" s="220"/>
      <c r="F210" s="221"/>
      <c r="G210" s="222"/>
      <c r="L210" s="223"/>
      <c r="M210" s="223"/>
      <c r="N210" s="224"/>
    </row>
    <row r="211" spans="1:14" s="112" customFormat="1">
      <c r="A211" s="216"/>
      <c r="B211" s="217"/>
      <c r="C211" s="218"/>
      <c r="D211" s="219"/>
      <c r="E211" s="220"/>
      <c r="F211" s="221"/>
      <c r="G211" s="222"/>
      <c r="L211" s="223"/>
      <c r="M211" s="223"/>
      <c r="N211" s="224"/>
    </row>
    <row r="212" spans="1:14" s="112" customFormat="1">
      <c r="A212" s="216"/>
      <c r="B212" s="217"/>
      <c r="C212" s="218"/>
      <c r="D212" s="219"/>
      <c r="E212" s="220"/>
      <c r="F212" s="221"/>
      <c r="G212" s="222"/>
      <c r="L212" s="223"/>
      <c r="M212" s="223"/>
      <c r="N212" s="224"/>
    </row>
    <row r="213" spans="1:14" s="112" customFormat="1">
      <c r="A213" s="216"/>
      <c r="B213" s="217"/>
      <c r="C213" s="218"/>
      <c r="D213" s="219"/>
      <c r="E213" s="220"/>
      <c r="F213" s="221"/>
      <c r="G213" s="222"/>
      <c r="L213" s="223"/>
      <c r="M213" s="223"/>
      <c r="N213" s="224"/>
    </row>
    <row r="214" spans="1:14" s="112" customFormat="1">
      <c r="A214" s="216"/>
      <c r="B214" s="217"/>
      <c r="C214" s="218"/>
      <c r="D214" s="219"/>
      <c r="E214" s="220"/>
      <c r="F214" s="221"/>
      <c r="G214" s="222"/>
      <c r="L214" s="223"/>
      <c r="M214" s="223"/>
      <c r="N214" s="224"/>
    </row>
    <row r="215" spans="1:14" s="112" customFormat="1">
      <c r="A215" s="216"/>
      <c r="B215" s="217"/>
      <c r="C215" s="218"/>
      <c r="D215" s="219"/>
      <c r="E215" s="220"/>
      <c r="F215" s="221"/>
      <c r="G215" s="222"/>
      <c r="L215" s="223"/>
      <c r="M215" s="223"/>
      <c r="N215" s="224"/>
    </row>
    <row r="216" spans="1:14" s="112" customFormat="1">
      <c r="A216" s="216"/>
      <c r="B216" s="217"/>
      <c r="C216" s="218"/>
      <c r="D216" s="219"/>
      <c r="E216" s="220"/>
      <c r="F216" s="221"/>
      <c r="G216" s="222"/>
      <c r="L216" s="223"/>
      <c r="M216" s="223"/>
      <c r="N216" s="224"/>
    </row>
    <row r="217" spans="1:14" s="112" customFormat="1">
      <c r="A217" s="216"/>
      <c r="B217" s="217"/>
      <c r="C217" s="218"/>
      <c r="D217" s="219"/>
      <c r="E217" s="220"/>
      <c r="F217" s="221"/>
      <c r="G217" s="222"/>
      <c r="L217" s="223"/>
      <c r="M217" s="223"/>
      <c r="N217" s="224"/>
    </row>
    <row r="218" spans="1:14" s="112" customFormat="1">
      <c r="A218" s="216"/>
      <c r="B218" s="217"/>
      <c r="C218" s="218"/>
      <c r="D218" s="219"/>
      <c r="E218" s="220"/>
      <c r="F218" s="221"/>
      <c r="G218" s="222"/>
      <c r="L218" s="223"/>
      <c r="M218" s="223"/>
      <c r="N218" s="224"/>
    </row>
    <row r="219" spans="1:14" s="112" customFormat="1">
      <c r="A219" s="216"/>
      <c r="B219" s="217"/>
      <c r="C219" s="218"/>
      <c r="D219" s="219"/>
      <c r="E219" s="220"/>
      <c r="F219" s="221"/>
      <c r="G219" s="222"/>
      <c r="L219" s="223"/>
      <c r="M219" s="223"/>
      <c r="N219" s="224"/>
    </row>
    <row r="220" spans="1:14" s="112" customFormat="1">
      <c r="A220" s="216"/>
      <c r="B220" s="217"/>
      <c r="C220" s="218"/>
      <c r="D220" s="219"/>
      <c r="E220" s="220"/>
      <c r="F220" s="221"/>
      <c r="G220" s="222"/>
      <c r="L220" s="223"/>
      <c r="M220" s="223"/>
      <c r="N220" s="224"/>
    </row>
    <row r="221" spans="1:14" s="112" customFormat="1">
      <c r="A221" s="216"/>
      <c r="B221" s="217"/>
      <c r="C221" s="218"/>
      <c r="D221" s="219"/>
      <c r="E221" s="220"/>
      <c r="F221" s="221"/>
      <c r="G221" s="222"/>
      <c r="L221" s="223"/>
      <c r="M221" s="223"/>
      <c r="N221" s="224"/>
    </row>
    <row r="222" spans="1:14" s="112" customFormat="1">
      <c r="A222" s="216"/>
      <c r="B222" s="217"/>
      <c r="C222" s="218"/>
      <c r="D222" s="219"/>
      <c r="E222" s="220"/>
      <c r="F222" s="221"/>
      <c r="G222" s="222"/>
      <c r="L222" s="223"/>
      <c r="M222" s="223"/>
      <c r="N222" s="224"/>
    </row>
    <row r="223" spans="1:14" s="112" customFormat="1">
      <c r="A223" s="216"/>
      <c r="B223" s="217"/>
      <c r="C223" s="218"/>
      <c r="D223" s="219"/>
      <c r="E223" s="220"/>
      <c r="F223" s="221"/>
      <c r="G223" s="222"/>
      <c r="L223" s="223"/>
      <c r="M223" s="223"/>
      <c r="N223" s="224"/>
    </row>
    <row r="224" spans="1:14" s="112" customFormat="1">
      <c r="A224" s="216"/>
      <c r="B224" s="217"/>
      <c r="C224" s="218"/>
      <c r="D224" s="219"/>
      <c r="E224" s="220"/>
      <c r="F224" s="221"/>
      <c r="G224" s="222"/>
      <c r="L224" s="223"/>
      <c r="M224" s="223"/>
      <c r="N224" s="224"/>
    </row>
    <row r="225" spans="1:14" s="112" customFormat="1">
      <c r="A225" s="216"/>
      <c r="B225" s="217"/>
      <c r="C225" s="218"/>
      <c r="D225" s="219"/>
      <c r="E225" s="220"/>
      <c r="F225" s="221"/>
      <c r="G225" s="222"/>
      <c r="L225" s="223"/>
      <c r="M225" s="223"/>
      <c r="N225" s="224"/>
    </row>
    <row r="226" spans="1:14" s="112" customFormat="1">
      <c r="A226" s="216"/>
      <c r="B226" s="217"/>
      <c r="C226" s="218"/>
      <c r="D226" s="219"/>
      <c r="E226" s="220"/>
      <c r="F226" s="221"/>
      <c r="G226" s="222"/>
      <c r="L226" s="223"/>
      <c r="M226" s="223"/>
      <c r="N226" s="224"/>
    </row>
    <row r="227" spans="1:14" s="112" customFormat="1">
      <c r="A227" s="216"/>
      <c r="B227" s="217"/>
      <c r="C227" s="218"/>
      <c r="D227" s="219"/>
      <c r="E227" s="220"/>
      <c r="F227" s="221"/>
      <c r="G227" s="222"/>
      <c r="L227" s="223"/>
      <c r="M227" s="223"/>
      <c r="N227" s="224"/>
    </row>
    <row r="228" spans="1:14" s="112" customFormat="1">
      <c r="A228" s="216"/>
      <c r="B228" s="217"/>
      <c r="C228" s="218"/>
      <c r="D228" s="219"/>
      <c r="E228" s="220"/>
      <c r="F228" s="221"/>
      <c r="G228" s="222"/>
      <c r="L228" s="223"/>
      <c r="M228" s="223"/>
      <c r="N228" s="224"/>
    </row>
    <row r="229" spans="1:14" s="112" customFormat="1">
      <c r="A229" s="216"/>
      <c r="B229" s="217"/>
      <c r="C229" s="218"/>
      <c r="D229" s="219"/>
      <c r="E229" s="220"/>
      <c r="F229" s="221"/>
      <c r="G229" s="222"/>
      <c r="L229" s="223"/>
      <c r="M229" s="223"/>
      <c r="N229" s="224"/>
    </row>
    <row r="230" spans="1:14" s="112" customFormat="1">
      <c r="A230" s="216"/>
      <c r="B230" s="217"/>
      <c r="C230" s="218"/>
      <c r="D230" s="219"/>
      <c r="E230" s="220"/>
      <c r="F230" s="221"/>
      <c r="G230" s="222"/>
      <c r="L230" s="223"/>
      <c r="M230" s="223"/>
      <c r="N230" s="224"/>
    </row>
    <row r="231" spans="1:14" s="112" customFormat="1">
      <c r="A231" s="216"/>
      <c r="B231" s="217"/>
      <c r="C231" s="218"/>
      <c r="D231" s="219"/>
      <c r="E231" s="220"/>
      <c r="F231" s="221"/>
      <c r="G231" s="222"/>
      <c r="L231" s="223"/>
      <c r="M231" s="223"/>
      <c r="N231" s="224"/>
    </row>
    <row r="232" spans="1:14" s="112" customFormat="1">
      <c r="A232" s="216"/>
      <c r="B232" s="217"/>
      <c r="C232" s="218"/>
      <c r="D232" s="219"/>
      <c r="E232" s="220"/>
      <c r="F232" s="221"/>
      <c r="G232" s="222"/>
      <c r="L232" s="223"/>
      <c r="M232" s="223"/>
      <c r="N232" s="224"/>
    </row>
    <row r="233" spans="1:14" s="112" customFormat="1">
      <c r="A233" s="216"/>
      <c r="B233" s="217"/>
      <c r="C233" s="218"/>
      <c r="D233" s="219"/>
      <c r="E233" s="220"/>
      <c r="F233" s="221"/>
      <c r="G233" s="222"/>
      <c r="L233" s="223"/>
      <c r="M233" s="223"/>
      <c r="N233" s="224"/>
    </row>
    <row r="234" spans="1:14" s="112" customFormat="1">
      <c r="A234" s="216"/>
      <c r="B234" s="217"/>
      <c r="C234" s="218"/>
      <c r="D234" s="219"/>
      <c r="E234" s="220"/>
      <c r="F234" s="221"/>
      <c r="G234" s="222"/>
      <c r="L234" s="223"/>
      <c r="M234" s="223"/>
      <c r="N234" s="224"/>
    </row>
    <row r="235" spans="1:14" s="112" customFormat="1">
      <c r="A235" s="216"/>
      <c r="B235" s="217"/>
      <c r="C235" s="218"/>
      <c r="D235" s="219"/>
      <c r="E235" s="220"/>
      <c r="F235" s="221"/>
      <c r="G235" s="222"/>
      <c r="L235" s="223"/>
      <c r="M235" s="223"/>
      <c r="N235" s="224"/>
    </row>
    <row r="236" spans="1:14" s="112" customFormat="1">
      <c r="A236" s="216"/>
      <c r="B236" s="217"/>
      <c r="C236" s="218"/>
      <c r="D236" s="219"/>
      <c r="E236" s="220"/>
      <c r="F236" s="221"/>
      <c r="G236" s="222"/>
      <c r="L236" s="223"/>
      <c r="M236" s="223"/>
      <c r="N236" s="224"/>
    </row>
    <row r="237" spans="1:14" s="112" customFormat="1">
      <c r="A237" s="216"/>
      <c r="B237" s="217"/>
      <c r="C237" s="218"/>
      <c r="D237" s="219"/>
      <c r="E237" s="220"/>
      <c r="F237" s="221"/>
      <c r="G237" s="222"/>
      <c r="L237" s="223"/>
      <c r="M237" s="223"/>
      <c r="N237" s="224"/>
    </row>
    <row r="238" spans="1:14" s="112" customFormat="1">
      <c r="A238" s="216"/>
      <c r="B238" s="217"/>
      <c r="C238" s="218"/>
      <c r="D238" s="219"/>
      <c r="E238" s="220"/>
      <c r="F238" s="221"/>
      <c r="G238" s="222"/>
      <c r="L238" s="223"/>
      <c r="M238" s="223"/>
      <c r="N238" s="224"/>
    </row>
    <row r="239" spans="1:14" s="112" customFormat="1">
      <c r="A239" s="216"/>
      <c r="B239" s="217"/>
      <c r="C239" s="218"/>
      <c r="D239" s="219"/>
      <c r="E239" s="220"/>
      <c r="F239" s="221"/>
      <c r="G239" s="222"/>
      <c r="L239" s="223"/>
      <c r="M239" s="223"/>
      <c r="N239" s="224"/>
    </row>
    <row r="240" spans="1:14" s="112" customFormat="1">
      <c r="A240" s="216"/>
      <c r="B240" s="217"/>
      <c r="C240" s="218"/>
      <c r="D240" s="219"/>
      <c r="E240" s="220"/>
      <c r="F240" s="221"/>
      <c r="G240" s="222"/>
      <c r="L240" s="223"/>
      <c r="M240" s="223"/>
      <c r="N240" s="224"/>
    </row>
    <row r="241" spans="1:14" s="112" customFormat="1">
      <c r="A241" s="216"/>
      <c r="B241" s="217"/>
      <c r="C241" s="218"/>
      <c r="D241" s="219"/>
      <c r="E241" s="220"/>
      <c r="F241" s="221"/>
      <c r="G241" s="222"/>
      <c r="L241" s="223"/>
      <c r="M241" s="223"/>
      <c r="N241" s="224"/>
    </row>
    <row r="242" spans="1:14" s="112" customFormat="1">
      <c r="A242" s="216"/>
      <c r="B242" s="217"/>
      <c r="C242" s="218"/>
      <c r="D242" s="219"/>
      <c r="E242" s="220"/>
      <c r="F242" s="221"/>
      <c r="G242" s="222"/>
      <c r="L242" s="223"/>
      <c r="M242" s="223"/>
      <c r="N242" s="224"/>
    </row>
    <row r="243" spans="1:14" s="112" customFormat="1">
      <c r="A243" s="216"/>
      <c r="B243" s="217"/>
      <c r="C243" s="218"/>
      <c r="D243" s="219"/>
      <c r="E243" s="220"/>
      <c r="F243" s="221"/>
      <c r="G243" s="222"/>
      <c r="L243" s="223"/>
      <c r="M243" s="223"/>
      <c r="N243" s="224"/>
    </row>
    <row r="244" spans="1:14" s="112" customFormat="1">
      <c r="A244" s="216"/>
      <c r="B244" s="217"/>
      <c r="C244" s="218"/>
      <c r="D244" s="219"/>
      <c r="E244" s="220"/>
      <c r="F244" s="221"/>
      <c r="G244" s="222"/>
      <c r="L244" s="223"/>
      <c r="M244" s="223"/>
      <c r="N244" s="224"/>
    </row>
    <row r="245" spans="1:14" s="112" customFormat="1">
      <c r="A245" s="216"/>
      <c r="B245" s="217"/>
      <c r="C245" s="218"/>
      <c r="D245" s="219"/>
      <c r="E245" s="220"/>
      <c r="F245" s="221"/>
      <c r="G245" s="222"/>
      <c r="L245" s="223"/>
      <c r="M245" s="223"/>
      <c r="N245" s="224"/>
    </row>
    <row r="246" spans="1:14" s="112" customFormat="1">
      <c r="A246" s="216"/>
      <c r="B246" s="217"/>
      <c r="C246" s="218"/>
      <c r="D246" s="219"/>
      <c r="E246" s="220"/>
      <c r="F246" s="221"/>
      <c r="G246" s="222"/>
      <c r="L246" s="223"/>
      <c r="M246" s="223"/>
      <c r="N246" s="224"/>
    </row>
    <row r="247" spans="1:14" s="112" customFormat="1">
      <c r="A247" s="216"/>
      <c r="B247" s="217"/>
      <c r="C247" s="218"/>
      <c r="D247" s="219"/>
      <c r="E247" s="220"/>
      <c r="F247" s="221"/>
      <c r="G247" s="222"/>
      <c r="L247" s="223"/>
      <c r="M247" s="223"/>
      <c r="N247" s="224"/>
    </row>
    <row r="248" spans="1:14" s="112" customFormat="1">
      <c r="A248" s="216"/>
      <c r="B248" s="217"/>
      <c r="C248" s="218"/>
      <c r="D248" s="219"/>
      <c r="E248" s="220"/>
      <c r="F248" s="221"/>
      <c r="G248" s="222"/>
      <c r="L248" s="223"/>
      <c r="M248" s="223"/>
      <c r="N248" s="224"/>
    </row>
    <row r="249" spans="1:14" s="112" customFormat="1">
      <c r="A249" s="216"/>
      <c r="B249" s="217"/>
      <c r="C249" s="218"/>
      <c r="D249" s="219"/>
      <c r="E249" s="220"/>
      <c r="F249" s="221"/>
      <c r="G249" s="222"/>
      <c r="L249" s="223"/>
      <c r="M249" s="223"/>
      <c r="N249" s="224"/>
    </row>
    <row r="250" spans="1:14" s="112" customFormat="1">
      <c r="A250" s="216"/>
      <c r="B250" s="217"/>
      <c r="C250" s="218"/>
      <c r="D250" s="219"/>
      <c r="E250" s="220"/>
      <c r="F250" s="221"/>
      <c r="G250" s="222"/>
      <c r="L250" s="223"/>
      <c r="M250" s="223"/>
      <c r="N250" s="224"/>
    </row>
    <row r="251" spans="1:14" s="112" customFormat="1">
      <c r="A251" s="216"/>
      <c r="B251" s="217"/>
      <c r="C251" s="218"/>
      <c r="D251" s="219"/>
      <c r="E251" s="220"/>
      <c r="F251" s="221"/>
      <c r="G251" s="222"/>
      <c r="L251" s="223"/>
      <c r="M251" s="223"/>
      <c r="N251" s="224"/>
    </row>
    <row r="252" spans="1:14" s="112" customFormat="1">
      <c r="A252" s="216"/>
      <c r="B252" s="217"/>
      <c r="C252" s="218"/>
      <c r="D252" s="219"/>
      <c r="E252" s="220"/>
      <c r="F252" s="221"/>
      <c r="G252" s="222"/>
      <c r="L252" s="223"/>
      <c r="M252" s="223"/>
      <c r="N252" s="224"/>
    </row>
    <row r="253" spans="1:14" s="112" customFormat="1">
      <c r="A253" s="216"/>
      <c r="B253" s="217"/>
      <c r="C253" s="218"/>
      <c r="D253" s="219"/>
      <c r="E253" s="220"/>
      <c r="F253" s="221"/>
      <c r="G253" s="222"/>
      <c r="L253" s="223"/>
      <c r="M253" s="223"/>
      <c r="N253" s="224"/>
    </row>
    <row r="254" spans="1:14" s="112" customFormat="1">
      <c r="A254" s="216"/>
      <c r="B254" s="217"/>
      <c r="C254" s="218"/>
      <c r="D254" s="219"/>
      <c r="E254" s="220"/>
      <c r="F254" s="221"/>
      <c r="G254" s="222"/>
      <c r="L254" s="223"/>
      <c r="M254" s="223"/>
      <c r="N254" s="224"/>
    </row>
    <row r="255" spans="1:14" s="112" customFormat="1">
      <c r="A255" s="216"/>
      <c r="B255" s="217"/>
      <c r="C255" s="218"/>
      <c r="D255" s="219"/>
      <c r="E255" s="220"/>
      <c r="F255" s="221"/>
      <c r="G255" s="222"/>
      <c r="L255" s="223"/>
      <c r="M255" s="223"/>
      <c r="N255" s="224"/>
    </row>
    <row r="256" spans="1:14" s="112" customFormat="1">
      <c r="A256" s="216"/>
      <c r="B256" s="217"/>
      <c r="C256" s="218"/>
      <c r="D256" s="219"/>
      <c r="E256" s="220"/>
      <c r="F256" s="221"/>
      <c r="G256" s="222"/>
      <c r="L256" s="223"/>
      <c r="M256" s="223"/>
      <c r="N256" s="224"/>
    </row>
    <row r="257" spans="1:14" s="112" customFormat="1">
      <c r="A257" s="216"/>
      <c r="B257" s="217"/>
      <c r="C257" s="218"/>
      <c r="D257" s="219"/>
      <c r="E257" s="220"/>
      <c r="F257" s="221"/>
      <c r="G257" s="222"/>
      <c r="L257" s="223"/>
      <c r="M257" s="223"/>
      <c r="N257" s="224"/>
    </row>
    <row r="258" spans="1:14" s="112" customFormat="1">
      <c r="A258" s="216"/>
      <c r="B258" s="217"/>
      <c r="C258" s="218"/>
      <c r="D258" s="219"/>
      <c r="E258" s="220"/>
      <c r="F258" s="221"/>
      <c r="G258" s="222"/>
      <c r="L258" s="223"/>
      <c r="M258" s="223"/>
      <c r="N258" s="224"/>
    </row>
    <row r="259" spans="1:14" s="112" customFormat="1">
      <c r="A259" s="216"/>
      <c r="B259" s="217"/>
      <c r="C259" s="218"/>
      <c r="D259" s="219"/>
      <c r="E259" s="220"/>
      <c r="F259" s="221"/>
      <c r="G259" s="222"/>
      <c r="L259" s="223"/>
      <c r="M259" s="223"/>
      <c r="N259" s="224"/>
    </row>
    <row r="260" spans="1:14" s="112" customFormat="1">
      <c r="A260" s="216"/>
      <c r="B260" s="217"/>
      <c r="C260" s="218"/>
      <c r="D260" s="219"/>
      <c r="E260" s="220"/>
      <c r="F260" s="221"/>
      <c r="G260" s="222"/>
      <c r="L260" s="223"/>
      <c r="M260" s="223"/>
      <c r="N260" s="224"/>
    </row>
    <row r="261" spans="1:14" s="112" customFormat="1">
      <c r="A261" s="216"/>
      <c r="B261" s="217"/>
      <c r="C261" s="218"/>
      <c r="D261" s="219"/>
      <c r="E261" s="220"/>
      <c r="F261" s="221"/>
      <c r="G261" s="222"/>
      <c r="L261" s="223"/>
      <c r="M261" s="223"/>
      <c r="N261" s="224"/>
    </row>
    <row r="262" spans="1:14" s="112" customFormat="1">
      <c r="A262" s="216"/>
      <c r="B262" s="217"/>
      <c r="C262" s="218"/>
      <c r="D262" s="219"/>
      <c r="E262" s="220"/>
      <c r="F262" s="221"/>
      <c r="G262" s="222"/>
      <c r="L262" s="223"/>
      <c r="M262" s="223"/>
      <c r="N262" s="224"/>
    </row>
    <row r="263" spans="1:14" s="112" customFormat="1">
      <c r="A263" s="216"/>
      <c r="B263" s="217"/>
      <c r="C263" s="218"/>
      <c r="D263" s="219"/>
      <c r="E263" s="220"/>
      <c r="F263" s="221"/>
      <c r="G263" s="222"/>
      <c r="L263" s="223"/>
      <c r="M263" s="223"/>
      <c r="N263" s="224"/>
    </row>
    <row r="264" spans="1:14" s="112" customFormat="1">
      <c r="A264" s="216"/>
      <c r="B264" s="217"/>
      <c r="C264" s="218"/>
      <c r="D264" s="219"/>
      <c r="E264" s="220"/>
      <c r="F264" s="221"/>
      <c r="G264" s="222"/>
      <c r="L264" s="223"/>
      <c r="M264" s="223"/>
      <c r="N264" s="224"/>
    </row>
    <row r="265" spans="1:14" s="112" customFormat="1">
      <c r="A265" s="216"/>
      <c r="B265" s="217"/>
      <c r="C265" s="218"/>
      <c r="D265" s="219"/>
      <c r="E265" s="220"/>
      <c r="F265" s="221"/>
      <c r="G265" s="222"/>
      <c r="L265" s="223"/>
      <c r="M265" s="223"/>
      <c r="N265" s="224"/>
    </row>
    <row r="266" spans="1:14" s="112" customFormat="1">
      <c r="A266" s="216"/>
      <c r="B266" s="217"/>
      <c r="C266" s="218"/>
      <c r="D266" s="219"/>
      <c r="E266" s="220"/>
      <c r="F266" s="221"/>
      <c r="G266" s="222"/>
      <c r="L266" s="223"/>
      <c r="M266" s="223"/>
      <c r="N266" s="224"/>
    </row>
    <row r="267" spans="1:14" s="112" customFormat="1">
      <c r="A267" s="216"/>
      <c r="B267" s="217"/>
      <c r="C267" s="218"/>
      <c r="D267" s="219"/>
      <c r="E267" s="220"/>
      <c r="F267" s="221"/>
      <c r="G267" s="222"/>
      <c r="L267" s="223"/>
      <c r="M267" s="223"/>
      <c r="N267" s="224"/>
    </row>
    <row r="268" spans="1:14" s="112" customFormat="1">
      <c r="A268" s="216"/>
      <c r="B268" s="217"/>
      <c r="C268" s="218"/>
      <c r="D268" s="219"/>
      <c r="E268" s="220"/>
      <c r="F268" s="221"/>
      <c r="G268" s="222"/>
      <c r="L268" s="223"/>
      <c r="M268" s="223"/>
      <c r="N268" s="224"/>
    </row>
    <row r="269" spans="1:14" s="112" customFormat="1">
      <c r="A269" s="216"/>
      <c r="B269" s="217"/>
      <c r="C269" s="218"/>
      <c r="D269" s="219"/>
      <c r="E269" s="220"/>
      <c r="F269" s="221"/>
      <c r="G269" s="222"/>
      <c r="L269" s="223"/>
      <c r="M269" s="223"/>
      <c r="N269" s="224"/>
    </row>
    <row r="270" spans="1:14" s="112" customFormat="1">
      <c r="A270" s="216"/>
      <c r="B270" s="217"/>
      <c r="C270" s="218"/>
      <c r="D270" s="219"/>
      <c r="E270" s="220"/>
      <c r="F270" s="221"/>
      <c r="G270" s="222"/>
      <c r="L270" s="223"/>
      <c r="M270" s="223"/>
      <c r="N270" s="224"/>
    </row>
    <row r="271" spans="1:14" s="112" customFormat="1">
      <c r="A271" s="216"/>
      <c r="B271" s="217"/>
      <c r="C271" s="218"/>
      <c r="D271" s="219"/>
      <c r="E271" s="220"/>
      <c r="F271" s="221"/>
      <c r="G271" s="222"/>
      <c r="L271" s="223"/>
      <c r="M271" s="223"/>
      <c r="N271" s="224"/>
    </row>
    <row r="272" spans="1:14" s="112" customFormat="1">
      <c r="A272" s="216"/>
      <c r="B272" s="217"/>
      <c r="C272" s="218"/>
      <c r="D272" s="219"/>
      <c r="E272" s="220"/>
      <c r="F272" s="221"/>
      <c r="G272" s="222"/>
      <c r="L272" s="223"/>
      <c r="M272" s="223"/>
      <c r="N272" s="224"/>
    </row>
    <row r="273" spans="1:14" s="112" customFormat="1">
      <c r="A273" s="216"/>
      <c r="B273" s="217"/>
      <c r="C273" s="218"/>
      <c r="D273" s="219"/>
      <c r="E273" s="220"/>
      <c r="F273" s="221"/>
      <c r="G273" s="222"/>
      <c r="L273" s="223"/>
      <c r="M273" s="223"/>
      <c r="N273" s="224"/>
    </row>
    <row r="274" spans="1:14" s="112" customFormat="1">
      <c r="A274" s="216"/>
      <c r="B274" s="217"/>
      <c r="C274" s="218"/>
      <c r="D274" s="219"/>
      <c r="E274" s="220"/>
      <c r="F274" s="221"/>
      <c r="G274" s="222"/>
      <c r="L274" s="223"/>
      <c r="M274" s="223"/>
      <c r="N274" s="224"/>
    </row>
    <row r="275" spans="1:14" s="112" customFormat="1">
      <c r="A275" s="216"/>
      <c r="B275" s="217"/>
      <c r="C275" s="218"/>
      <c r="D275" s="219"/>
      <c r="E275" s="220"/>
      <c r="F275" s="221"/>
      <c r="G275" s="222"/>
      <c r="L275" s="223"/>
      <c r="M275" s="223"/>
      <c r="N275" s="224"/>
    </row>
    <row r="276" spans="1:14" s="112" customFormat="1">
      <c r="A276" s="216"/>
      <c r="B276" s="217"/>
      <c r="C276" s="218"/>
      <c r="D276" s="219"/>
      <c r="E276" s="220"/>
      <c r="F276" s="221"/>
      <c r="G276" s="222"/>
      <c r="L276" s="223"/>
      <c r="M276" s="223"/>
      <c r="N276" s="224"/>
    </row>
    <row r="277" spans="1:14" s="112" customFormat="1">
      <c r="A277" s="216"/>
      <c r="B277" s="217"/>
      <c r="C277" s="218"/>
      <c r="D277" s="219"/>
      <c r="E277" s="220"/>
      <c r="F277" s="221"/>
      <c r="G277" s="222"/>
      <c r="L277" s="223"/>
      <c r="M277" s="223"/>
      <c r="N277" s="224"/>
    </row>
    <row r="278" spans="1:14" s="112" customFormat="1">
      <c r="A278" s="216"/>
      <c r="B278" s="217"/>
      <c r="C278" s="218"/>
      <c r="D278" s="219"/>
      <c r="E278" s="220"/>
      <c r="F278" s="221"/>
      <c r="G278" s="222"/>
      <c r="L278" s="223"/>
      <c r="M278" s="223"/>
      <c r="N278" s="224"/>
    </row>
    <row r="279" spans="1:14" s="112" customFormat="1">
      <c r="A279" s="216"/>
      <c r="B279" s="217"/>
      <c r="C279" s="218"/>
      <c r="D279" s="219"/>
      <c r="E279" s="220"/>
      <c r="F279" s="221"/>
      <c r="G279" s="222"/>
      <c r="L279" s="223"/>
      <c r="M279" s="223"/>
      <c r="N279" s="224"/>
    </row>
    <row r="280" spans="1:14" s="112" customFormat="1">
      <c r="A280" s="216"/>
      <c r="B280" s="217"/>
      <c r="C280" s="218"/>
      <c r="D280" s="219"/>
      <c r="E280" s="220"/>
      <c r="F280" s="221"/>
      <c r="G280" s="222"/>
      <c r="L280" s="223"/>
      <c r="M280" s="223"/>
      <c r="N280" s="224"/>
    </row>
    <row r="281" spans="1:14" s="112" customFormat="1">
      <c r="A281" s="216"/>
      <c r="B281" s="217"/>
      <c r="C281" s="218"/>
      <c r="D281" s="219"/>
      <c r="E281" s="220"/>
      <c r="F281" s="221"/>
      <c r="G281" s="222"/>
      <c r="L281" s="223"/>
      <c r="M281" s="223"/>
      <c r="N281" s="224"/>
    </row>
    <row r="282" spans="1:14" s="112" customFormat="1">
      <c r="A282" s="216"/>
      <c r="B282" s="217"/>
      <c r="C282" s="218"/>
      <c r="D282" s="219"/>
      <c r="E282" s="220"/>
      <c r="F282" s="221"/>
      <c r="G282" s="222"/>
      <c r="L282" s="223"/>
      <c r="M282" s="223"/>
      <c r="N282" s="224"/>
    </row>
    <row r="283" spans="1:14" s="112" customFormat="1">
      <c r="A283" s="216"/>
      <c r="B283" s="217"/>
      <c r="C283" s="218"/>
      <c r="D283" s="219"/>
      <c r="E283" s="220"/>
      <c r="F283" s="221"/>
      <c r="G283" s="222"/>
      <c r="L283" s="223"/>
      <c r="M283" s="223"/>
      <c r="N283" s="224"/>
    </row>
    <row r="284" spans="1:14" s="112" customFormat="1">
      <c r="A284" s="216"/>
      <c r="B284" s="217"/>
      <c r="C284" s="218"/>
      <c r="D284" s="219"/>
      <c r="E284" s="220"/>
      <c r="F284" s="221"/>
      <c r="G284" s="222"/>
      <c r="L284" s="223"/>
      <c r="M284" s="223"/>
      <c r="N284" s="224"/>
    </row>
    <row r="285" spans="1:14" s="112" customFormat="1">
      <c r="A285" s="216"/>
      <c r="B285" s="217"/>
      <c r="C285" s="218"/>
      <c r="D285" s="219"/>
      <c r="E285" s="220"/>
      <c r="F285" s="221"/>
      <c r="G285" s="222"/>
      <c r="L285" s="223"/>
      <c r="M285" s="223"/>
      <c r="N285" s="224"/>
    </row>
    <row r="286" spans="1:14" s="112" customFormat="1">
      <c r="A286" s="216"/>
      <c r="B286" s="217"/>
      <c r="C286" s="218"/>
      <c r="D286" s="219"/>
      <c r="E286" s="220"/>
      <c r="F286" s="221"/>
      <c r="G286" s="222"/>
      <c r="L286" s="223"/>
      <c r="M286" s="223"/>
      <c r="N286" s="224"/>
    </row>
    <row r="287" spans="1:14" s="112" customFormat="1">
      <c r="A287" s="216"/>
      <c r="B287" s="217"/>
      <c r="C287" s="218"/>
      <c r="D287" s="219"/>
      <c r="E287" s="220"/>
      <c r="F287" s="221"/>
      <c r="G287" s="222"/>
      <c r="L287" s="223"/>
      <c r="M287" s="223"/>
      <c r="N287" s="224"/>
    </row>
    <row r="288" spans="1:14" s="112" customFormat="1">
      <c r="A288" s="216"/>
      <c r="B288" s="217"/>
      <c r="C288" s="218"/>
      <c r="D288" s="219"/>
      <c r="E288" s="220"/>
      <c r="F288" s="221"/>
      <c r="G288" s="222"/>
      <c r="L288" s="223"/>
      <c r="M288" s="223"/>
      <c r="N288" s="224"/>
    </row>
    <row r="289" spans="1:14" s="112" customFormat="1">
      <c r="A289" s="216"/>
      <c r="B289" s="217"/>
      <c r="C289" s="218"/>
      <c r="D289" s="219"/>
      <c r="E289" s="220"/>
      <c r="F289" s="221"/>
      <c r="G289" s="222"/>
      <c r="L289" s="223"/>
      <c r="M289" s="223"/>
      <c r="N289" s="224"/>
    </row>
    <row r="290" spans="1:14" s="112" customFormat="1">
      <c r="A290" s="216"/>
      <c r="B290" s="217"/>
      <c r="C290" s="218"/>
      <c r="D290" s="219"/>
      <c r="E290" s="220"/>
      <c r="F290" s="221"/>
      <c r="G290" s="222"/>
      <c r="L290" s="223"/>
      <c r="M290" s="223"/>
      <c r="N290" s="224"/>
    </row>
    <row r="291" spans="1:14" s="112" customFormat="1">
      <c r="A291" s="216"/>
      <c r="B291" s="217"/>
      <c r="C291" s="218"/>
      <c r="D291" s="219"/>
      <c r="E291" s="220"/>
      <c r="F291" s="221"/>
      <c r="G291" s="222"/>
      <c r="L291" s="223"/>
      <c r="M291" s="223"/>
      <c r="N291" s="224"/>
    </row>
    <row r="292" spans="1:14" s="112" customFormat="1">
      <c r="A292" s="216"/>
      <c r="B292" s="217"/>
      <c r="C292" s="218"/>
      <c r="D292" s="219"/>
      <c r="E292" s="220"/>
      <c r="F292" s="221"/>
      <c r="G292" s="222"/>
      <c r="L292" s="223"/>
      <c r="M292" s="223"/>
      <c r="N292" s="224"/>
    </row>
    <row r="293" spans="1:14" s="112" customFormat="1">
      <c r="A293" s="216"/>
      <c r="B293" s="217"/>
      <c r="C293" s="218"/>
      <c r="D293" s="219"/>
      <c r="E293" s="220"/>
      <c r="F293" s="221"/>
      <c r="G293" s="222"/>
      <c r="L293" s="223"/>
      <c r="M293" s="223"/>
      <c r="N293" s="224"/>
    </row>
    <row r="294" spans="1:14" s="112" customFormat="1">
      <c r="A294" s="216"/>
      <c r="B294" s="217"/>
      <c r="C294" s="218"/>
      <c r="D294" s="219"/>
      <c r="E294" s="220"/>
      <c r="F294" s="221"/>
      <c r="G294" s="222"/>
      <c r="L294" s="223"/>
      <c r="M294" s="223"/>
      <c r="N294" s="224"/>
    </row>
    <row r="295" spans="1:14" s="112" customFormat="1">
      <c r="A295" s="216"/>
      <c r="B295" s="217"/>
      <c r="C295" s="218"/>
      <c r="D295" s="219"/>
      <c r="E295" s="220"/>
      <c r="F295" s="221"/>
      <c r="G295" s="222"/>
      <c r="L295" s="223"/>
      <c r="M295" s="223"/>
      <c r="N295" s="224"/>
    </row>
    <row r="296" spans="1:14" s="112" customFormat="1">
      <c r="A296" s="216"/>
      <c r="B296" s="217"/>
      <c r="C296" s="218"/>
      <c r="D296" s="219"/>
      <c r="E296" s="220"/>
      <c r="F296" s="221"/>
      <c r="G296" s="222"/>
      <c r="L296" s="223"/>
      <c r="M296" s="223"/>
      <c r="N296" s="224"/>
    </row>
    <row r="297" spans="1:14" s="112" customFormat="1">
      <c r="A297" s="216"/>
      <c r="B297" s="217"/>
      <c r="C297" s="218"/>
      <c r="D297" s="219"/>
      <c r="E297" s="220"/>
      <c r="F297" s="221"/>
      <c r="G297" s="222"/>
      <c r="L297" s="223"/>
      <c r="M297" s="223"/>
      <c r="N297" s="224"/>
    </row>
    <row r="298" spans="1:14" s="112" customFormat="1">
      <c r="A298" s="216"/>
      <c r="B298" s="217"/>
      <c r="C298" s="218"/>
      <c r="D298" s="219"/>
      <c r="E298" s="220"/>
      <c r="F298" s="221"/>
      <c r="G298" s="222"/>
      <c r="L298" s="223"/>
      <c r="M298" s="223"/>
      <c r="N298" s="224"/>
    </row>
    <row r="299" spans="1:14" s="112" customFormat="1">
      <c r="A299" s="216"/>
      <c r="B299" s="217"/>
      <c r="C299" s="218"/>
      <c r="D299" s="219"/>
      <c r="E299" s="220"/>
      <c r="F299" s="221"/>
      <c r="G299" s="222"/>
      <c r="L299" s="223"/>
      <c r="M299" s="223"/>
      <c r="N299" s="224"/>
    </row>
    <row r="300" spans="1:14" s="112" customFormat="1">
      <c r="A300" s="216"/>
      <c r="B300" s="217"/>
      <c r="C300" s="218"/>
      <c r="D300" s="219"/>
      <c r="E300" s="220"/>
      <c r="F300" s="221"/>
      <c r="G300" s="222"/>
      <c r="L300" s="223"/>
      <c r="M300" s="223"/>
      <c r="N300" s="224"/>
    </row>
    <row r="301" spans="1:14" s="112" customFormat="1">
      <c r="A301" s="216"/>
      <c r="B301" s="217"/>
      <c r="C301" s="218"/>
      <c r="D301" s="219"/>
      <c r="E301" s="220"/>
      <c r="F301" s="221"/>
      <c r="G301" s="222"/>
      <c r="L301" s="223"/>
      <c r="M301" s="223"/>
      <c r="N301" s="224"/>
    </row>
    <row r="302" spans="1:14" s="112" customFormat="1">
      <c r="A302" s="216"/>
      <c r="B302" s="217"/>
      <c r="C302" s="218"/>
      <c r="D302" s="219"/>
      <c r="E302" s="220"/>
      <c r="F302" s="221"/>
      <c r="G302" s="222"/>
      <c r="L302" s="223"/>
      <c r="M302" s="223"/>
      <c r="N302" s="224"/>
    </row>
    <row r="303" spans="1:14" s="112" customFormat="1">
      <c r="A303" s="216"/>
      <c r="B303" s="217"/>
      <c r="C303" s="218"/>
      <c r="D303" s="219"/>
      <c r="E303" s="220"/>
      <c r="F303" s="221"/>
      <c r="G303" s="222"/>
      <c r="L303" s="223"/>
      <c r="M303" s="223"/>
      <c r="N303" s="224"/>
    </row>
    <row r="304" spans="1:14" s="112" customFormat="1">
      <c r="A304" s="216"/>
      <c r="B304" s="217"/>
      <c r="C304" s="218"/>
      <c r="D304" s="219"/>
      <c r="E304" s="220"/>
      <c r="F304" s="221"/>
      <c r="G304" s="222"/>
      <c r="L304" s="223"/>
      <c r="M304" s="223"/>
      <c r="N304" s="224"/>
    </row>
    <row r="305" spans="1:14" s="112" customFormat="1">
      <c r="A305" s="216"/>
      <c r="B305" s="217"/>
      <c r="C305" s="218"/>
      <c r="D305" s="219"/>
      <c r="E305" s="220"/>
      <c r="F305" s="221"/>
      <c r="G305" s="222"/>
      <c r="L305" s="223"/>
      <c r="M305" s="223"/>
      <c r="N305" s="224"/>
    </row>
    <row r="306" spans="1:14" s="112" customFormat="1">
      <c r="A306" s="216"/>
      <c r="B306" s="217"/>
      <c r="C306" s="218"/>
      <c r="D306" s="219"/>
      <c r="E306" s="220"/>
      <c r="F306" s="221"/>
      <c r="G306" s="222"/>
      <c r="L306" s="223"/>
      <c r="M306" s="223"/>
      <c r="N306" s="224"/>
    </row>
    <row r="307" spans="1:14" s="112" customFormat="1">
      <c r="A307" s="216"/>
      <c r="B307" s="217"/>
      <c r="C307" s="218"/>
      <c r="D307" s="219"/>
      <c r="E307" s="220"/>
      <c r="F307" s="221"/>
      <c r="G307" s="222"/>
      <c r="L307" s="223"/>
      <c r="M307" s="223"/>
      <c r="N307" s="224"/>
    </row>
    <row r="308" spans="1:14" s="112" customFormat="1">
      <c r="A308" s="216"/>
      <c r="B308" s="217"/>
      <c r="C308" s="218"/>
      <c r="D308" s="219"/>
      <c r="E308" s="220"/>
      <c r="F308" s="221"/>
      <c r="G308" s="222"/>
      <c r="L308" s="223"/>
      <c r="M308" s="223"/>
      <c r="N308" s="224"/>
    </row>
    <row r="309" spans="1:14" s="112" customFormat="1">
      <c r="A309" s="216"/>
      <c r="B309" s="217"/>
      <c r="C309" s="218"/>
      <c r="D309" s="219"/>
      <c r="E309" s="220"/>
      <c r="F309" s="221"/>
      <c r="G309" s="222"/>
      <c r="L309" s="223"/>
      <c r="M309" s="223"/>
      <c r="N309" s="224"/>
    </row>
    <row r="310" spans="1:14" s="112" customFormat="1">
      <c r="A310" s="216"/>
      <c r="B310" s="217"/>
      <c r="C310" s="218"/>
      <c r="D310" s="219"/>
      <c r="E310" s="220"/>
      <c r="F310" s="221"/>
      <c r="G310" s="222"/>
      <c r="L310" s="223"/>
      <c r="M310" s="223"/>
      <c r="N310" s="224"/>
    </row>
    <row r="311" spans="1:14" s="112" customFormat="1">
      <c r="A311" s="216"/>
      <c r="B311" s="217"/>
      <c r="C311" s="218"/>
      <c r="D311" s="219"/>
      <c r="E311" s="220"/>
      <c r="F311" s="221"/>
      <c r="G311" s="222"/>
      <c r="L311" s="223"/>
      <c r="M311" s="223"/>
      <c r="N311" s="224"/>
    </row>
    <row r="312" spans="1:14" s="112" customFormat="1">
      <c r="A312" s="216"/>
      <c r="B312" s="217"/>
      <c r="C312" s="218"/>
      <c r="D312" s="219"/>
      <c r="E312" s="220"/>
      <c r="F312" s="221"/>
      <c r="G312" s="222"/>
      <c r="L312" s="223"/>
      <c r="M312" s="223"/>
      <c r="N312" s="224"/>
    </row>
    <row r="313" spans="1:14" s="112" customFormat="1">
      <c r="A313" s="216"/>
      <c r="B313" s="217"/>
      <c r="C313" s="218"/>
      <c r="D313" s="219"/>
      <c r="E313" s="220"/>
      <c r="F313" s="221"/>
      <c r="G313" s="222"/>
      <c r="L313" s="223"/>
      <c r="M313" s="223"/>
      <c r="N313" s="224"/>
    </row>
    <row r="314" spans="1:14" s="112" customFormat="1">
      <c r="A314" s="216"/>
      <c r="B314" s="217"/>
      <c r="C314" s="218"/>
      <c r="D314" s="219"/>
      <c r="E314" s="220"/>
      <c r="F314" s="221"/>
      <c r="G314" s="222"/>
      <c r="L314" s="223"/>
      <c r="M314" s="223"/>
      <c r="N314" s="224"/>
    </row>
    <row r="315" spans="1:14" s="112" customFormat="1">
      <c r="A315" s="216"/>
      <c r="B315" s="217"/>
      <c r="C315" s="218"/>
      <c r="D315" s="219"/>
      <c r="E315" s="220"/>
      <c r="F315" s="221"/>
      <c r="G315" s="222"/>
      <c r="L315" s="223"/>
      <c r="M315" s="223"/>
      <c r="N315" s="224"/>
    </row>
    <row r="316" spans="1:14" s="112" customFormat="1">
      <c r="A316" s="216"/>
      <c r="B316" s="217"/>
      <c r="C316" s="218"/>
      <c r="D316" s="219"/>
      <c r="E316" s="220"/>
      <c r="F316" s="221"/>
      <c r="G316" s="222"/>
      <c r="L316" s="223"/>
      <c r="M316" s="223"/>
      <c r="N316" s="224"/>
    </row>
    <row r="317" spans="1:14" s="112" customFormat="1">
      <c r="A317" s="216"/>
      <c r="B317" s="217"/>
      <c r="C317" s="218"/>
      <c r="D317" s="219"/>
      <c r="E317" s="220"/>
      <c r="F317" s="221"/>
      <c r="G317" s="222"/>
      <c r="L317" s="223"/>
      <c r="M317" s="223"/>
      <c r="N317" s="224"/>
    </row>
    <row r="318" spans="1:14" s="112" customFormat="1">
      <c r="A318" s="216"/>
      <c r="B318" s="217"/>
      <c r="C318" s="218"/>
      <c r="D318" s="219"/>
      <c r="E318" s="220"/>
      <c r="F318" s="221"/>
      <c r="G318" s="222"/>
      <c r="L318" s="223"/>
      <c r="M318" s="223"/>
      <c r="N318" s="224"/>
    </row>
    <row r="319" spans="1:14" s="112" customFormat="1">
      <c r="A319" s="216"/>
      <c r="B319" s="217"/>
      <c r="C319" s="218"/>
      <c r="D319" s="219"/>
      <c r="E319" s="220"/>
      <c r="F319" s="221"/>
      <c r="G319" s="222"/>
      <c r="L319" s="223"/>
      <c r="M319" s="223"/>
      <c r="N319" s="224"/>
    </row>
    <row r="320" spans="1:14" s="112" customFormat="1">
      <c r="A320" s="216"/>
      <c r="B320" s="217"/>
      <c r="C320" s="218"/>
      <c r="D320" s="219"/>
      <c r="E320" s="220"/>
      <c r="F320" s="221"/>
      <c r="G320" s="222"/>
      <c r="L320" s="223"/>
      <c r="M320" s="223"/>
      <c r="N320" s="224"/>
    </row>
    <row r="321" spans="1:14" s="112" customFormat="1">
      <c r="A321" s="216"/>
      <c r="B321" s="217"/>
      <c r="C321" s="218"/>
      <c r="D321" s="219"/>
      <c r="E321" s="220"/>
      <c r="F321" s="221"/>
      <c r="G321" s="222"/>
      <c r="L321" s="223"/>
      <c r="M321" s="223"/>
      <c r="N321" s="224"/>
    </row>
    <row r="322" spans="1:14" s="112" customFormat="1">
      <c r="A322" s="216"/>
      <c r="B322" s="217"/>
      <c r="C322" s="218"/>
      <c r="D322" s="219"/>
      <c r="E322" s="220"/>
      <c r="F322" s="221"/>
      <c r="G322" s="222"/>
      <c r="L322" s="223"/>
      <c r="M322" s="223"/>
      <c r="N322" s="224"/>
    </row>
    <row r="323" spans="1:14" s="112" customFormat="1">
      <c r="A323" s="216"/>
      <c r="B323" s="217"/>
      <c r="C323" s="218"/>
      <c r="D323" s="219"/>
      <c r="E323" s="220"/>
      <c r="F323" s="221"/>
      <c r="G323" s="222"/>
      <c r="L323" s="223"/>
      <c r="M323" s="223"/>
      <c r="N323" s="224"/>
    </row>
    <row r="324" spans="1:14" s="112" customFormat="1">
      <c r="A324" s="216"/>
      <c r="B324" s="217"/>
      <c r="C324" s="218"/>
      <c r="D324" s="219"/>
      <c r="E324" s="220"/>
      <c r="F324" s="221"/>
      <c r="G324" s="222"/>
      <c r="L324" s="223"/>
      <c r="M324" s="223"/>
      <c r="N324" s="224"/>
    </row>
    <row r="325" spans="1:14" s="112" customFormat="1">
      <c r="A325" s="216"/>
      <c r="B325" s="217"/>
      <c r="C325" s="218"/>
      <c r="D325" s="219"/>
      <c r="E325" s="220"/>
      <c r="F325" s="221"/>
      <c r="G325" s="222"/>
      <c r="L325" s="223"/>
      <c r="M325" s="223"/>
      <c r="N325" s="224"/>
    </row>
    <row r="326" spans="1:14" s="112" customFormat="1">
      <c r="A326" s="216"/>
      <c r="B326" s="217"/>
      <c r="C326" s="218"/>
      <c r="D326" s="219"/>
      <c r="E326" s="220"/>
      <c r="F326" s="221"/>
      <c r="G326" s="222"/>
      <c r="L326" s="223"/>
      <c r="M326" s="223"/>
      <c r="N326" s="224"/>
    </row>
    <row r="327" spans="1:14" s="112" customFormat="1">
      <c r="A327" s="216"/>
      <c r="B327" s="217"/>
      <c r="C327" s="218"/>
      <c r="D327" s="219"/>
      <c r="E327" s="220"/>
      <c r="F327" s="221"/>
      <c r="G327" s="222"/>
      <c r="L327" s="223"/>
      <c r="M327" s="223"/>
      <c r="N327" s="224"/>
    </row>
    <row r="328" spans="1:14" s="112" customFormat="1">
      <c r="A328" s="216"/>
      <c r="B328" s="217"/>
      <c r="C328" s="218"/>
      <c r="D328" s="219"/>
      <c r="E328" s="220"/>
      <c r="F328" s="221"/>
      <c r="G328" s="222"/>
      <c r="L328" s="223"/>
      <c r="M328" s="223"/>
      <c r="N328" s="224"/>
    </row>
    <row r="329" spans="1:14" s="112" customFormat="1">
      <c r="A329" s="216"/>
      <c r="B329" s="217"/>
      <c r="C329" s="218"/>
      <c r="D329" s="219"/>
      <c r="E329" s="220"/>
      <c r="F329" s="221"/>
      <c r="G329" s="222"/>
      <c r="L329" s="223"/>
      <c r="M329" s="223"/>
      <c r="N329" s="224"/>
    </row>
    <row r="330" spans="1:14" s="112" customFormat="1">
      <c r="A330" s="216"/>
      <c r="B330" s="217"/>
      <c r="C330" s="218"/>
      <c r="D330" s="219"/>
      <c r="E330" s="220"/>
      <c r="F330" s="221"/>
      <c r="G330" s="222"/>
      <c r="L330" s="223"/>
      <c r="M330" s="223"/>
      <c r="N330" s="224"/>
    </row>
    <row r="331" spans="1:14" s="112" customFormat="1">
      <c r="A331" s="216"/>
      <c r="B331" s="217"/>
      <c r="C331" s="218"/>
      <c r="D331" s="219"/>
      <c r="E331" s="220"/>
      <c r="F331" s="221"/>
      <c r="G331" s="222"/>
      <c r="L331" s="223"/>
      <c r="M331" s="223"/>
      <c r="N331" s="224"/>
    </row>
    <row r="332" spans="1:14" s="112" customFormat="1">
      <c r="A332" s="216"/>
      <c r="B332" s="217"/>
      <c r="C332" s="218"/>
      <c r="D332" s="219"/>
      <c r="E332" s="220"/>
      <c r="F332" s="221"/>
      <c r="G332" s="222"/>
      <c r="L332" s="223"/>
      <c r="M332" s="223"/>
      <c r="N332" s="224"/>
    </row>
    <row r="333" spans="1:14" s="112" customFormat="1">
      <c r="A333" s="216"/>
      <c r="B333" s="217"/>
      <c r="C333" s="218"/>
      <c r="D333" s="219"/>
      <c r="E333" s="220"/>
      <c r="F333" s="221"/>
      <c r="G333" s="222"/>
      <c r="L333" s="223"/>
      <c r="M333" s="223"/>
      <c r="N333" s="224"/>
    </row>
    <row r="334" spans="1:14" s="112" customFormat="1">
      <c r="A334" s="216"/>
      <c r="B334" s="217"/>
      <c r="C334" s="218"/>
      <c r="D334" s="219"/>
      <c r="E334" s="220"/>
      <c r="F334" s="221"/>
      <c r="G334" s="222"/>
      <c r="L334" s="223"/>
      <c r="M334" s="223"/>
      <c r="N334" s="224"/>
    </row>
    <row r="335" spans="1:14" s="112" customFormat="1">
      <c r="A335" s="216"/>
      <c r="B335" s="217"/>
      <c r="C335" s="218"/>
      <c r="D335" s="219"/>
      <c r="E335" s="220"/>
      <c r="F335" s="221"/>
      <c r="G335" s="222"/>
      <c r="L335" s="223"/>
      <c r="M335" s="223"/>
      <c r="N335" s="224"/>
    </row>
    <row r="336" spans="1:14" s="112" customFormat="1">
      <c r="A336" s="216"/>
      <c r="B336" s="217"/>
      <c r="C336" s="218"/>
      <c r="D336" s="219"/>
      <c r="E336" s="220"/>
      <c r="F336" s="221"/>
      <c r="G336" s="222"/>
      <c r="L336" s="223"/>
      <c r="M336" s="223"/>
      <c r="N336" s="224"/>
    </row>
    <row r="337" spans="1:14" s="112" customFormat="1">
      <c r="A337" s="216"/>
      <c r="B337" s="217"/>
      <c r="C337" s="218"/>
      <c r="D337" s="219"/>
      <c r="E337" s="220"/>
      <c r="F337" s="221"/>
      <c r="G337" s="222"/>
      <c r="L337" s="223"/>
      <c r="M337" s="223"/>
      <c r="N337" s="224"/>
    </row>
    <row r="338" spans="1:14" s="112" customFormat="1">
      <c r="A338" s="216"/>
      <c r="B338" s="217"/>
      <c r="C338" s="218"/>
      <c r="D338" s="219"/>
      <c r="E338" s="220"/>
      <c r="F338" s="221"/>
      <c r="G338" s="222"/>
      <c r="L338" s="223"/>
      <c r="M338" s="223"/>
      <c r="N338" s="224"/>
    </row>
    <row r="339" spans="1:14" s="112" customFormat="1">
      <c r="A339" s="216"/>
      <c r="B339" s="217"/>
      <c r="C339" s="218"/>
      <c r="D339" s="219"/>
      <c r="E339" s="220"/>
      <c r="F339" s="221"/>
      <c r="G339" s="222"/>
      <c r="L339" s="223"/>
      <c r="M339" s="223"/>
      <c r="N339" s="224"/>
    </row>
    <row r="340" spans="1:14" s="112" customFormat="1">
      <c r="A340" s="216"/>
      <c r="B340" s="217"/>
      <c r="C340" s="218"/>
      <c r="D340" s="219"/>
      <c r="E340" s="220"/>
      <c r="F340" s="221"/>
      <c r="G340" s="222"/>
      <c r="L340" s="223"/>
      <c r="M340" s="223"/>
      <c r="N340" s="224"/>
    </row>
    <row r="341" spans="1:14" s="112" customFormat="1">
      <c r="A341" s="216"/>
      <c r="B341" s="217"/>
      <c r="C341" s="218"/>
      <c r="D341" s="219"/>
      <c r="E341" s="220"/>
      <c r="F341" s="221"/>
      <c r="G341" s="222"/>
      <c r="L341" s="223"/>
      <c r="M341" s="223"/>
      <c r="N341" s="224"/>
    </row>
    <row r="342" spans="1:14" s="112" customFormat="1">
      <c r="A342" s="216"/>
      <c r="B342" s="217"/>
      <c r="C342" s="218"/>
      <c r="D342" s="219"/>
      <c r="E342" s="220"/>
      <c r="F342" s="221"/>
      <c r="G342" s="222"/>
      <c r="L342" s="223"/>
      <c r="M342" s="223"/>
      <c r="N342" s="224"/>
    </row>
    <row r="343" spans="1:14" s="112" customFormat="1">
      <c r="A343" s="216"/>
      <c r="B343" s="217"/>
      <c r="C343" s="218"/>
      <c r="D343" s="219"/>
      <c r="E343" s="220"/>
      <c r="F343" s="221"/>
      <c r="G343" s="222"/>
      <c r="L343" s="223"/>
      <c r="M343" s="223"/>
      <c r="N343" s="224"/>
    </row>
    <row r="344" spans="1:14" s="112" customFormat="1">
      <c r="A344" s="216"/>
      <c r="B344" s="217"/>
      <c r="C344" s="218"/>
      <c r="D344" s="219"/>
      <c r="E344" s="220"/>
      <c r="F344" s="221"/>
      <c r="G344" s="222"/>
      <c r="L344" s="223"/>
      <c r="M344" s="223"/>
      <c r="N344" s="224"/>
    </row>
    <row r="345" spans="1:14" s="112" customFormat="1">
      <c r="A345" s="216"/>
      <c r="B345" s="217"/>
      <c r="C345" s="218"/>
      <c r="D345" s="219"/>
      <c r="E345" s="220"/>
      <c r="F345" s="221"/>
      <c r="G345" s="222"/>
      <c r="L345" s="223"/>
      <c r="M345" s="223"/>
      <c r="N345" s="224"/>
    </row>
    <row r="346" spans="1:14" s="112" customFormat="1">
      <c r="A346" s="216"/>
      <c r="B346" s="217"/>
      <c r="C346" s="218"/>
      <c r="D346" s="219"/>
      <c r="E346" s="220"/>
      <c r="F346" s="221"/>
      <c r="G346" s="222"/>
      <c r="L346" s="223"/>
      <c r="M346" s="223"/>
      <c r="N346" s="224"/>
    </row>
    <row r="347" spans="1:14" s="112" customFormat="1">
      <c r="A347" s="216"/>
      <c r="B347" s="217"/>
      <c r="C347" s="218"/>
      <c r="D347" s="219"/>
      <c r="E347" s="220"/>
      <c r="F347" s="221"/>
      <c r="G347" s="222"/>
      <c r="L347" s="223"/>
      <c r="M347" s="223"/>
      <c r="N347" s="224"/>
    </row>
    <row r="348" spans="1:14" s="112" customFormat="1">
      <c r="A348" s="216"/>
      <c r="B348" s="217"/>
      <c r="C348" s="218"/>
      <c r="D348" s="219"/>
      <c r="E348" s="220"/>
      <c r="F348" s="221"/>
      <c r="G348" s="222"/>
      <c r="L348" s="223"/>
      <c r="M348" s="223"/>
      <c r="N348" s="224"/>
    </row>
    <row r="349" spans="1:14" s="112" customFormat="1">
      <c r="A349" s="216"/>
      <c r="B349" s="217"/>
      <c r="C349" s="218"/>
      <c r="D349" s="219"/>
      <c r="E349" s="220"/>
      <c r="F349" s="221"/>
      <c r="G349" s="222"/>
      <c r="L349" s="223"/>
      <c r="M349" s="223"/>
      <c r="N349" s="224"/>
    </row>
    <row r="350" spans="1:14" s="112" customFormat="1">
      <c r="A350" s="216"/>
      <c r="B350" s="217"/>
      <c r="C350" s="218"/>
      <c r="D350" s="219"/>
      <c r="E350" s="220"/>
      <c r="F350" s="221"/>
      <c r="G350" s="222"/>
      <c r="L350" s="223"/>
      <c r="M350" s="223"/>
      <c r="N350" s="224"/>
    </row>
    <row r="351" spans="1:14" s="112" customFormat="1">
      <c r="A351" s="216"/>
      <c r="B351" s="217"/>
      <c r="C351" s="218"/>
      <c r="D351" s="219"/>
      <c r="E351" s="220"/>
      <c r="F351" s="221"/>
      <c r="G351" s="222"/>
      <c r="L351" s="223"/>
      <c r="M351" s="223"/>
      <c r="N351" s="224"/>
    </row>
    <row r="352" spans="1:14" s="112" customFormat="1">
      <c r="A352" s="216"/>
      <c r="B352" s="217"/>
      <c r="C352" s="218"/>
      <c r="D352" s="219"/>
      <c r="E352" s="220"/>
      <c r="F352" s="221"/>
      <c r="G352" s="222"/>
      <c r="L352" s="223"/>
      <c r="M352" s="223"/>
      <c r="N352" s="224"/>
    </row>
    <row r="353" spans="1:14" s="112" customFormat="1">
      <c r="A353" s="216"/>
      <c r="B353" s="217"/>
      <c r="C353" s="218"/>
      <c r="D353" s="219"/>
      <c r="E353" s="220"/>
      <c r="F353" s="221"/>
      <c r="G353" s="222"/>
      <c r="L353" s="223"/>
      <c r="M353" s="223"/>
      <c r="N353" s="224"/>
    </row>
    <row r="354" spans="1:14" s="112" customFormat="1">
      <c r="A354" s="216"/>
      <c r="B354" s="217"/>
      <c r="C354" s="218"/>
      <c r="D354" s="219"/>
      <c r="E354" s="220"/>
      <c r="F354" s="221"/>
      <c r="G354" s="222"/>
      <c r="L354" s="223"/>
      <c r="M354" s="223"/>
      <c r="N354" s="224"/>
    </row>
    <row r="355" spans="1:14" s="112" customFormat="1">
      <c r="A355" s="216"/>
      <c r="B355" s="217"/>
      <c r="C355" s="218"/>
      <c r="D355" s="219"/>
      <c r="E355" s="220"/>
      <c r="F355" s="221"/>
      <c r="G355" s="222"/>
      <c r="L355" s="223"/>
      <c r="M355" s="223"/>
      <c r="N355" s="224"/>
    </row>
    <row r="356" spans="1:14" s="112" customFormat="1">
      <c r="A356" s="216"/>
      <c r="B356" s="217"/>
      <c r="C356" s="218"/>
      <c r="D356" s="219"/>
      <c r="E356" s="220"/>
      <c r="F356" s="221"/>
      <c r="G356" s="222"/>
      <c r="L356" s="223"/>
      <c r="M356" s="223"/>
      <c r="N356" s="224"/>
    </row>
    <row r="357" spans="1:14" s="112" customFormat="1">
      <c r="A357" s="216"/>
      <c r="B357" s="217"/>
      <c r="C357" s="218"/>
      <c r="D357" s="219"/>
      <c r="E357" s="220"/>
      <c r="F357" s="221"/>
      <c r="G357" s="222"/>
      <c r="L357" s="223"/>
      <c r="M357" s="223"/>
      <c r="N357" s="224"/>
    </row>
    <row r="358" spans="1:14" s="112" customFormat="1">
      <c r="A358" s="216"/>
      <c r="B358" s="217"/>
      <c r="C358" s="218"/>
      <c r="D358" s="219"/>
      <c r="E358" s="220"/>
      <c r="F358" s="221"/>
      <c r="G358" s="222"/>
      <c r="L358" s="223"/>
      <c r="M358" s="223"/>
      <c r="N358" s="224"/>
    </row>
    <row r="359" spans="1:14" s="112" customFormat="1">
      <c r="A359" s="216"/>
      <c r="B359" s="217"/>
      <c r="C359" s="218"/>
      <c r="D359" s="219"/>
      <c r="E359" s="220"/>
      <c r="F359" s="221"/>
      <c r="G359" s="222"/>
      <c r="L359" s="223"/>
      <c r="M359" s="223"/>
      <c r="N359" s="224"/>
    </row>
    <row r="360" spans="1:14" s="112" customFormat="1">
      <c r="A360" s="216"/>
      <c r="B360" s="217"/>
      <c r="C360" s="218"/>
      <c r="D360" s="219"/>
      <c r="E360" s="220"/>
      <c r="F360" s="221"/>
      <c r="G360" s="222"/>
      <c r="L360" s="223"/>
      <c r="M360" s="223"/>
      <c r="N360" s="224"/>
    </row>
    <row r="361" spans="1:14" s="112" customFormat="1">
      <c r="A361" s="216"/>
      <c r="B361" s="217"/>
      <c r="C361" s="218"/>
      <c r="D361" s="219"/>
      <c r="E361" s="220"/>
      <c r="F361" s="221"/>
      <c r="G361" s="222"/>
      <c r="L361" s="223"/>
      <c r="M361" s="223"/>
      <c r="N361" s="224"/>
    </row>
    <row r="362" spans="1:14" s="112" customFormat="1">
      <c r="A362" s="216"/>
      <c r="B362" s="217"/>
      <c r="C362" s="218"/>
      <c r="D362" s="219"/>
      <c r="E362" s="220"/>
      <c r="F362" s="221"/>
      <c r="G362" s="222"/>
      <c r="L362" s="223"/>
      <c r="M362" s="223"/>
      <c r="N362" s="224"/>
    </row>
    <row r="363" spans="1:14" s="112" customFormat="1">
      <c r="A363" s="216"/>
      <c r="B363" s="217"/>
      <c r="C363" s="218"/>
      <c r="D363" s="219"/>
      <c r="E363" s="220"/>
      <c r="F363" s="221"/>
      <c r="G363" s="222"/>
      <c r="L363" s="223"/>
      <c r="M363" s="223"/>
      <c r="N363" s="224"/>
    </row>
    <row r="364" spans="1:14" s="112" customFormat="1">
      <c r="A364" s="216"/>
      <c r="B364" s="217"/>
      <c r="C364" s="218"/>
      <c r="D364" s="219"/>
      <c r="E364" s="220"/>
      <c r="F364" s="221"/>
      <c r="G364" s="222"/>
      <c r="L364" s="223"/>
      <c r="M364" s="223"/>
      <c r="N364" s="224"/>
    </row>
    <row r="365" spans="1:14" s="112" customFormat="1">
      <c r="A365" s="216"/>
      <c r="B365" s="217"/>
      <c r="C365" s="218"/>
      <c r="D365" s="219"/>
      <c r="E365" s="220"/>
      <c r="F365" s="221"/>
      <c r="G365" s="222"/>
      <c r="L365" s="223"/>
      <c r="M365" s="223"/>
      <c r="N365" s="224"/>
    </row>
    <row r="366" spans="1:14" s="112" customFormat="1">
      <c r="A366" s="216"/>
      <c r="B366" s="217"/>
      <c r="C366" s="218"/>
      <c r="D366" s="219"/>
      <c r="E366" s="220"/>
      <c r="F366" s="221"/>
      <c r="G366" s="222"/>
      <c r="L366" s="223"/>
      <c r="M366" s="223"/>
      <c r="N366" s="224"/>
    </row>
    <row r="367" spans="1:14" s="112" customFormat="1">
      <c r="A367" s="216"/>
      <c r="B367" s="217"/>
      <c r="C367" s="218"/>
      <c r="D367" s="219"/>
      <c r="E367" s="220"/>
      <c r="F367" s="221"/>
      <c r="G367" s="222"/>
      <c r="L367" s="223"/>
      <c r="M367" s="223"/>
      <c r="N367" s="224"/>
    </row>
    <row r="368" spans="1:14" s="112" customFormat="1">
      <c r="A368" s="216"/>
      <c r="B368" s="217"/>
      <c r="C368" s="218"/>
      <c r="D368" s="219"/>
      <c r="E368" s="220"/>
      <c r="F368" s="221"/>
      <c r="G368" s="222"/>
      <c r="L368" s="223"/>
      <c r="M368" s="223"/>
      <c r="N368" s="224"/>
    </row>
    <row r="369" spans="1:14" s="112" customFormat="1">
      <c r="A369" s="216"/>
      <c r="B369" s="217"/>
      <c r="C369" s="218"/>
      <c r="D369" s="219"/>
      <c r="E369" s="220"/>
      <c r="F369" s="221"/>
      <c r="G369" s="222"/>
      <c r="L369" s="223"/>
      <c r="M369" s="223"/>
      <c r="N369" s="224"/>
    </row>
    <row r="370" spans="1:14" s="112" customFormat="1">
      <c r="A370" s="216"/>
      <c r="B370" s="217"/>
      <c r="C370" s="218"/>
      <c r="D370" s="219"/>
      <c r="E370" s="220"/>
      <c r="F370" s="221"/>
      <c r="G370" s="222"/>
      <c r="L370" s="223"/>
      <c r="M370" s="223"/>
      <c r="N370" s="224"/>
    </row>
    <row r="371" spans="1:14" s="112" customFormat="1">
      <c r="A371" s="216"/>
      <c r="B371" s="217"/>
      <c r="C371" s="218"/>
      <c r="D371" s="219"/>
      <c r="E371" s="220"/>
      <c r="F371" s="221"/>
      <c r="G371" s="222"/>
      <c r="L371" s="223"/>
      <c r="M371" s="223"/>
      <c r="N371" s="224"/>
    </row>
    <row r="372" spans="1:14" s="112" customFormat="1">
      <c r="A372" s="216"/>
      <c r="B372" s="217"/>
      <c r="C372" s="218"/>
      <c r="D372" s="219"/>
      <c r="E372" s="220"/>
      <c r="F372" s="221"/>
      <c r="G372" s="222"/>
      <c r="L372" s="223"/>
      <c r="M372" s="223"/>
      <c r="N372" s="224"/>
    </row>
    <row r="373" spans="1:14" s="112" customFormat="1">
      <c r="A373" s="216"/>
      <c r="B373" s="217"/>
      <c r="C373" s="218"/>
      <c r="D373" s="219"/>
      <c r="E373" s="220"/>
      <c r="F373" s="221"/>
      <c r="G373" s="222"/>
      <c r="L373" s="223"/>
      <c r="M373" s="223"/>
      <c r="N373" s="224"/>
    </row>
    <row r="374" spans="1:14" s="112" customFormat="1">
      <c r="A374" s="216"/>
      <c r="B374" s="217"/>
      <c r="C374" s="218"/>
      <c r="D374" s="219"/>
      <c r="E374" s="220"/>
      <c r="F374" s="221"/>
      <c r="G374" s="222"/>
      <c r="L374" s="223"/>
      <c r="M374" s="223"/>
      <c r="N374" s="224"/>
    </row>
    <row r="375" spans="1:14" s="112" customFormat="1">
      <c r="A375" s="216"/>
      <c r="B375" s="217"/>
      <c r="C375" s="218"/>
      <c r="D375" s="219"/>
      <c r="E375" s="220"/>
      <c r="F375" s="221"/>
      <c r="G375" s="222"/>
      <c r="L375" s="223"/>
      <c r="M375" s="223"/>
      <c r="N375" s="224"/>
    </row>
    <row r="376" spans="1:14" s="112" customFormat="1">
      <c r="A376" s="216"/>
      <c r="B376" s="217"/>
      <c r="C376" s="218"/>
      <c r="D376" s="219"/>
      <c r="E376" s="220"/>
      <c r="F376" s="221"/>
      <c r="G376" s="222"/>
      <c r="L376" s="223"/>
      <c r="M376" s="223"/>
      <c r="N376" s="224"/>
    </row>
    <row r="377" spans="1:14" s="112" customFormat="1">
      <c r="A377" s="216"/>
      <c r="B377" s="217"/>
      <c r="C377" s="218"/>
      <c r="D377" s="219"/>
      <c r="E377" s="220"/>
      <c r="F377" s="221"/>
      <c r="G377" s="222"/>
      <c r="L377" s="223"/>
      <c r="M377" s="223"/>
      <c r="N377" s="224"/>
    </row>
    <row r="378" spans="1:14" s="112" customFormat="1">
      <c r="A378" s="216"/>
      <c r="B378" s="217"/>
      <c r="C378" s="218"/>
      <c r="D378" s="219"/>
      <c r="E378" s="220"/>
      <c r="F378" s="221"/>
      <c r="G378" s="222"/>
      <c r="L378" s="223"/>
      <c r="M378" s="223"/>
      <c r="N378" s="224"/>
    </row>
    <row r="379" spans="1:14" s="112" customFormat="1">
      <c r="A379" s="216"/>
      <c r="B379" s="217"/>
      <c r="C379" s="218"/>
      <c r="D379" s="219"/>
      <c r="E379" s="220"/>
      <c r="F379" s="221"/>
      <c r="G379" s="222"/>
      <c r="L379" s="223"/>
      <c r="M379" s="223"/>
      <c r="N379" s="224"/>
    </row>
    <row r="380" spans="1:14" s="112" customFormat="1">
      <c r="A380" s="216"/>
      <c r="B380" s="217"/>
      <c r="C380" s="218"/>
      <c r="D380" s="219"/>
      <c r="E380" s="220"/>
      <c r="F380" s="221"/>
      <c r="G380" s="222"/>
      <c r="L380" s="223"/>
      <c r="M380" s="223"/>
      <c r="N380" s="224"/>
    </row>
    <row r="381" spans="1:14" s="112" customFormat="1">
      <c r="A381" s="216"/>
      <c r="B381" s="217"/>
      <c r="C381" s="218"/>
      <c r="D381" s="219"/>
      <c r="E381" s="220"/>
      <c r="F381" s="221"/>
      <c r="G381" s="222"/>
      <c r="L381" s="223"/>
      <c r="M381" s="223"/>
      <c r="N381" s="224"/>
    </row>
    <row r="382" spans="1:14" s="112" customFormat="1">
      <c r="A382" s="216"/>
      <c r="B382" s="217"/>
      <c r="C382" s="218"/>
      <c r="D382" s="219"/>
      <c r="E382" s="220"/>
      <c r="F382" s="221"/>
      <c r="G382" s="222"/>
      <c r="L382" s="223"/>
      <c r="M382" s="223"/>
      <c r="N382" s="224"/>
    </row>
    <row r="383" spans="1:14" s="112" customFormat="1">
      <c r="A383" s="216"/>
      <c r="B383" s="217"/>
      <c r="C383" s="218"/>
      <c r="D383" s="219"/>
      <c r="E383" s="220"/>
      <c r="F383" s="221"/>
      <c r="G383" s="222"/>
      <c r="L383" s="223"/>
      <c r="M383" s="223"/>
      <c r="N383" s="224"/>
    </row>
    <row r="384" spans="1:14" s="112" customFormat="1">
      <c r="A384" s="216"/>
      <c r="B384" s="217"/>
      <c r="C384" s="218"/>
      <c r="D384" s="219"/>
      <c r="E384" s="220"/>
      <c r="F384" s="221"/>
      <c r="G384" s="222"/>
      <c r="L384" s="223"/>
      <c r="M384" s="223"/>
      <c r="N384" s="224"/>
    </row>
    <row r="385" spans="1:14" s="112" customFormat="1">
      <c r="A385" s="216"/>
      <c r="B385" s="217"/>
      <c r="C385" s="218"/>
      <c r="D385" s="219"/>
      <c r="E385" s="220"/>
      <c r="F385" s="221"/>
      <c r="G385" s="222"/>
      <c r="L385" s="223"/>
      <c r="M385" s="223"/>
      <c r="N385" s="224"/>
    </row>
    <row r="386" spans="1:14" s="112" customFormat="1">
      <c r="A386" s="216"/>
      <c r="B386" s="217"/>
      <c r="C386" s="218"/>
      <c r="D386" s="219"/>
      <c r="E386" s="220"/>
      <c r="F386" s="221"/>
      <c r="G386" s="222"/>
      <c r="L386" s="223"/>
      <c r="M386" s="223"/>
      <c r="N386" s="224"/>
    </row>
    <row r="387" spans="1:14" s="112" customFormat="1">
      <c r="A387" s="216"/>
      <c r="B387" s="217"/>
      <c r="C387" s="218"/>
      <c r="D387" s="219"/>
      <c r="E387" s="220"/>
      <c r="F387" s="221"/>
      <c r="G387" s="222"/>
      <c r="L387" s="223"/>
      <c r="M387" s="223"/>
      <c r="N387" s="224"/>
    </row>
    <row r="388" spans="1:14" s="112" customFormat="1">
      <c r="A388" s="216"/>
      <c r="B388" s="217"/>
      <c r="C388" s="218"/>
      <c r="D388" s="219"/>
      <c r="E388" s="220"/>
      <c r="F388" s="221"/>
      <c r="G388" s="222"/>
      <c r="L388" s="223"/>
      <c r="M388" s="223"/>
      <c r="N388" s="224"/>
    </row>
    <row r="389" spans="1:14" s="112" customFormat="1">
      <c r="A389" s="216"/>
      <c r="B389" s="217"/>
      <c r="C389" s="218"/>
      <c r="D389" s="219"/>
      <c r="E389" s="220"/>
      <c r="F389" s="221"/>
      <c r="G389" s="222"/>
      <c r="L389" s="223"/>
      <c r="M389" s="223"/>
      <c r="N389" s="224"/>
    </row>
    <row r="390" spans="1:14" s="112" customFormat="1">
      <c r="A390" s="216"/>
      <c r="B390" s="217"/>
      <c r="C390" s="218"/>
      <c r="D390" s="219"/>
      <c r="E390" s="220"/>
      <c r="F390" s="221"/>
      <c r="G390" s="222"/>
      <c r="L390" s="223"/>
      <c r="M390" s="223"/>
      <c r="N390" s="224"/>
    </row>
    <row r="391" spans="1:14" s="112" customFormat="1">
      <c r="A391" s="216"/>
      <c r="B391" s="217"/>
      <c r="C391" s="218"/>
      <c r="D391" s="219"/>
      <c r="E391" s="220"/>
      <c r="F391" s="221"/>
      <c r="G391" s="222"/>
      <c r="L391" s="223"/>
      <c r="M391" s="223"/>
      <c r="N391" s="224"/>
    </row>
    <row r="392" spans="1:14" s="112" customFormat="1">
      <c r="A392" s="216"/>
      <c r="B392" s="217"/>
      <c r="C392" s="218"/>
      <c r="D392" s="219"/>
      <c r="E392" s="220"/>
      <c r="F392" s="221"/>
      <c r="G392" s="222"/>
      <c r="L392" s="223"/>
      <c r="M392" s="223"/>
      <c r="N392" s="224"/>
    </row>
    <row r="393" spans="1:14" s="112" customFormat="1">
      <c r="A393" s="216"/>
      <c r="B393" s="217"/>
      <c r="C393" s="218"/>
      <c r="D393" s="219"/>
      <c r="E393" s="220"/>
      <c r="F393" s="221"/>
      <c r="G393" s="222"/>
      <c r="L393" s="223"/>
      <c r="M393" s="223"/>
      <c r="N393" s="224"/>
    </row>
    <row r="394" spans="1:14" s="112" customFormat="1">
      <c r="A394" s="216"/>
      <c r="B394" s="217"/>
      <c r="C394" s="218"/>
      <c r="D394" s="219"/>
      <c r="E394" s="220"/>
      <c r="F394" s="221"/>
      <c r="G394" s="222"/>
      <c r="L394" s="223"/>
      <c r="M394" s="223"/>
      <c r="N394" s="224"/>
    </row>
    <row r="395" spans="1:14" s="112" customFormat="1">
      <c r="A395" s="216"/>
      <c r="B395" s="217"/>
      <c r="C395" s="218"/>
      <c r="D395" s="219"/>
      <c r="E395" s="220"/>
      <c r="F395" s="221"/>
      <c r="G395" s="222"/>
      <c r="L395" s="223"/>
      <c r="M395" s="223"/>
      <c r="N395" s="224"/>
    </row>
    <row r="396" spans="1:14" s="112" customFormat="1">
      <c r="A396" s="216"/>
      <c r="B396" s="217"/>
      <c r="C396" s="218"/>
      <c r="D396" s="219"/>
      <c r="E396" s="220"/>
      <c r="F396" s="221"/>
      <c r="G396" s="222"/>
      <c r="L396" s="223"/>
      <c r="M396" s="223"/>
      <c r="N396" s="224"/>
    </row>
    <row r="397" spans="1:14" s="112" customFormat="1">
      <c r="A397" s="216"/>
      <c r="B397" s="217"/>
      <c r="C397" s="218"/>
      <c r="D397" s="219"/>
      <c r="E397" s="220"/>
      <c r="F397" s="221"/>
      <c r="G397" s="222"/>
      <c r="L397" s="223"/>
      <c r="M397" s="223"/>
      <c r="N397" s="224"/>
    </row>
    <row r="398" spans="1:14" s="112" customFormat="1">
      <c r="A398" s="216"/>
      <c r="B398" s="217"/>
      <c r="C398" s="218"/>
      <c r="D398" s="219"/>
      <c r="E398" s="220"/>
      <c r="F398" s="221"/>
      <c r="G398" s="222"/>
      <c r="L398" s="223"/>
      <c r="M398" s="223"/>
      <c r="N398" s="224"/>
    </row>
    <row r="399" spans="1:14" s="112" customFormat="1">
      <c r="A399" s="216"/>
      <c r="B399" s="217"/>
      <c r="C399" s="218"/>
      <c r="D399" s="219"/>
      <c r="E399" s="220"/>
      <c r="F399" s="221"/>
      <c r="G399" s="222"/>
      <c r="L399" s="223"/>
      <c r="M399" s="223"/>
      <c r="N399" s="224"/>
    </row>
    <row r="400" spans="1:14" s="112" customFormat="1">
      <c r="A400" s="216"/>
      <c r="B400" s="217"/>
      <c r="C400" s="218"/>
      <c r="D400" s="219"/>
      <c r="E400" s="220"/>
      <c r="F400" s="221"/>
      <c r="G400" s="222"/>
      <c r="L400" s="223"/>
      <c r="M400" s="223"/>
      <c r="N400" s="224"/>
    </row>
    <row r="401" spans="1:14" s="112" customFormat="1">
      <c r="A401" s="216"/>
      <c r="B401" s="217"/>
      <c r="C401" s="218"/>
      <c r="D401" s="219"/>
      <c r="E401" s="220"/>
      <c r="F401" s="221"/>
      <c r="G401" s="222"/>
      <c r="L401" s="223"/>
      <c r="M401" s="223"/>
      <c r="N401" s="224"/>
    </row>
    <row r="402" spans="1:14" s="112" customFormat="1">
      <c r="A402" s="216"/>
      <c r="B402" s="217"/>
      <c r="C402" s="218"/>
      <c r="D402" s="219"/>
      <c r="E402" s="220"/>
      <c r="F402" s="221"/>
      <c r="G402" s="222"/>
      <c r="L402" s="223"/>
      <c r="M402" s="223"/>
      <c r="N402" s="224"/>
    </row>
    <row r="403" spans="1:14" s="112" customFormat="1">
      <c r="A403" s="216"/>
      <c r="B403" s="217"/>
      <c r="C403" s="218"/>
      <c r="D403" s="219"/>
      <c r="E403" s="220"/>
      <c r="F403" s="221"/>
      <c r="G403" s="222"/>
      <c r="L403" s="223"/>
      <c r="M403" s="223"/>
      <c r="N403" s="224"/>
    </row>
    <row r="404" spans="1:14" s="112" customFormat="1">
      <c r="A404" s="216"/>
      <c r="B404" s="217"/>
      <c r="C404" s="218"/>
      <c r="D404" s="219"/>
      <c r="E404" s="220"/>
      <c r="F404" s="221"/>
      <c r="G404" s="222"/>
      <c r="L404" s="223"/>
      <c r="M404" s="223"/>
      <c r="N404" s="224"/>
    </row>
    <row r="405" spans="1:14" s="112" customFormat="1">
      <c r="A405" s="216"/>
      <c r="B405" s="217"/>
      <c r="C405" s="218"/>
      <c r="D405" s="219"/>
      <c r="E405" s="220"/>
      <c r="F405" s="221"/>
      <c r="G405" s="222"/>
      <c r="L405" s="223"/>
      <c r="M405" s="223"/>
      <c r="N405" s="224"/>
    </row>
    <row r="406" spans="1:14" s="112" customFormat="1">
      <c r="A406" s="216"/>
      <c r="B406" s="217"/>
      <c r="C406" s="218"/>
      <c r="D406" s="219"/>
      <c r="E406" s="220"/>
      <c r="F406" s="221"/>
      <c r="G406" s="222"/>
      <c r="L406" s="223"/>
      <c r="M406" s="223"/>
      <c r="N406" s="224"/>
    </row>
    <row r="407" spans="1:14" s="112" customFormat="1">
      <c r="A407" s="216"/>
      <c r="B407" s="217"/>
      <c r="C407" s="218"/>
      <c r="D407" s="219"/>
      <c r="E407" s="220"/>
      <c r="F407" s="221"/>
      <c r="G407" s="222"/>
      <c r="L407" s="223"/>
      <c r="M407" s="223"/>
      <c r="N407" s="224"/>
    </row>
    <row r="408" spans="1:14" s="112" customFormat="1">
      <c r="A408" s="216"/>
      <c r="B408" s="217"/>
      <c r="C408" s="218"/>
      <c r="D408" s="219"/>
      <c r="E408" s="220"/>
      <c r="F408" s="221"/>
      <c r="G408" s="222"/>
      <c r="L408" s="223"/>
      <c r="M408" s="223"/>
      <c r="N408" s="224"/>
    </row>
    <row r="409" spans="1:14" s="112" customFormat="1">
      <c r="A409" s="216"/>
      <c r="B409" s="217"/>
      <c r="C409" s="218"/>
      <c r="D409" s="219"/>
      <c r="E409" s="220"/>
      <c r="F409" s="221"/>
      <c r="G409" s="222"/>
      <c r="L409" s="223"/>
      <c r="M409" s="223"/>
      <c r="N409" s="224"/>
    </row>
    <row r="410" spans="1:14" s="112" customFormat="1">
      <c r="A410" s="216"/>
      <c r="B410" s="217"/>
      <c r="C410" s="218"/>
      <c r="D410" s="219"/>
      <c r="E410" s="220"/>
      <c r="F410" s="221"/>
      <c r="G410" s="222"/>
      <c r="L410" s="223"/>
      <c r="M410" s="223"/>
      <c r="N410" s="224"/>
    </row>
    <row r="411" spans="1:14" s="112" customFormat="1">
      <c r="A411" s="216"/>
      <c r="B411" s="217"/>
      <c r="C411" s="218"/>
      <c r="D411" s="219"/>
      <c r="E411" s="220"/>
      <c r="F411" s="221"/>
      <c r="G411" s="222"/>
      <c r="L411" s="223"/>
      <c r="M411" s="223"/>
      <c r="N411" s="224"/>
    </row>
    <row r="412" spans="1:14" s="112" customFormat="1">
      <c r="A412" s="216"/>
      <c r="B412" s="217"/>
      <c r="C412" s="218"/>
      <c r="D412" s="219"/>
      <c r="E412" s="220"/>
      <c r="F412" s="221"/>
      <c r="G412" s="222"/>
      <c r="L412" s="223"/>
      <c r="M412" s="223"/>
      <c r="N412" s="224"/>
    </row>
    <row r="413" spans="1:14" s="112" customFormat="1">
      <c r="A413" s="216"/>
      <c r="B413" s="217"/>
      <c r="C413" s="218"/>
      <c r="D413" s="219"/>
      <c r="E413" s="220"/>
      <c r="F413" s="221"/>
      <c r="G413" s="222"/>
      <c r="L413" s="223"/>
      <c r="M413" s="223"/>
      <c r="N413" s="224"/>
    </row>
    <row r="414" spans="1:14" s="112" customFormat="1">
      <c r="A414" s="216"/>
      <c r="B414" s="217"/>
      <c r="C414" s="218"/>
      <c r="D414" s="219"/>
      <c r="E414" s="220"/>
      <c r="F414" s="221"/>
      <c r="G414" s="222"/>
      <c r="L414" s="223"/>
      <c r="M414" s="223"/>
      <c r="N414" s="224"/>
    </row>
    <row r="415" spans="1:14" s="112" customFormat="1">
      <c r="A415" s="216"/>
      <c r="B415" s="217"/>
      <c r="C415" s="218"/>
      <c r="D415" s="219"/>
      <c r="E415" s="220"/>
      <c r="F415" s="221"/>
      <c r="G415" s="222"/>
      <c r="L415" s="223"/>
      <c r="M415" s="223"/>
      <c r="N415" s="224"/>
    </row>
    <row r="416" spans="1:14" s="112" customFormat="1">
      <c r="A416" s="216"/>
      <c r="B416" s="217"/>
      <c r="C416" s="218"/>
      <c r="D416" s="219"/>
      <c r="E416" s="220"/>
      <c r="F416" s="221"/>
      <c r="G416" s="222"/>
      <c r="L416" s="223"/>
      <c r="M416" s="223"/>
      <c r="N416" s="224"/>
    </row>
    <row r="417" spans="1:14" s="112" customFormat="1">
      <c r="A417" s="216"/>
      <c r="B417" s="217"/>
      <c r="C417" s="218"/>
      <c r="D417" s="219"/>
      <c r="E417" s="220"/>
      <c r="F417" s="221"/>
      <c r="G417" s="222"/>
      <c r="L417" s="223"/>
      <c r="M417" s="223"/>
      <c r="N417" s="224"/>
    </row>
    <row r="418" spans="1:14" s="112" customFormat="1">
      <c r="A418" s="216"/>
      <c r="B418" s="217"/>
      <c r="C418" s="218"/>
      <c r="D418" s="219"/>
      <c r="E418" s="220"/>
      <c r="F418" s="221"/>
      <c r="G418" s="222"/>
      <c r="L418" s="223"/>
      <c r="M418" s="223"/>
      <c r="N418" s="224"/>
    </row>
    <row r="419" spans="1:14" s="112" customFormat="1">
      <c r="A419" s="216"/>
      <c r="B419" s="217"/>
      <c r="C419" s="218"/>
      <c r="D419" s="219"/>
      <c r="E419" s="220"/>
      <c r="F419" s="221"/>
      <c r="G419" s="222"/>
      <c r="L419" s="223"/>
      <c r="M419" s="223"/>
      <c r="N419" s="224"/>
    </row>
    <row r="420" spans="1:14" s="112" customFormat="1">
      <c r="A420" s="216"/>
      <c r="B420" s="217"/>
      <c r="C420" s="218"/>
      <c r="D420" s="219"/>
      <c r="E420" s="220"/>
      <c r="F420" s="221"/>
      <c r="G420" s="222"/>
      <c r="L420" s="223"/>
      <c r="M420" s="223"/>
      <c r="N420" s="224"/>
    </row>
    <row r="421" spans="1:14" s="112" customFormat="1">
      <c r="A421" s="216"/>
      <c r="B421" s="217"/>
      <c r="C421" s="218"/>
      <c r="D421" s="219"/>
      <c r="E421" s="220"/>
      <c r="F421" s="221"/>
      <c r="G421" s="222"/>
      <c r="L421" s="223"/>
      <c r="M421" s="223"/>
      <c r="N421" s="224"/>
    </row>
    <row r="422" spans="1:14" s="112" customFormat="1">
      <c r="A422" s="216"/>
      <c r="B422" s="217"/>
      <c r="C422" s="218"/>
      <c r="D422" s="219"/>
      <c r="E422" s="220"/>
      <c r="F422" s="221"/>
      <c r="G422" s="222"/>
      <c r="L422" s="223"/>
      <c r="M422" s="223"/>
      <c r="N422" s="224"/>
    </row>
    <row r="423" spans="1:14" s="112" customFormat="1">
      <c r="A423" s="216"/>
      <c r="B423" s="217"/>
      <c r="C423" s="218"/>
      <c r="D423" s="219"/>
      <c r="E423" s="220"/>
      <c r="F423" s="221"/>
      <c r="G423" s="222"/>
      <c r="L423" s="223"/>
      <c r="M423" s="223"/>
      <c r="N423" s="224"/>
    </row>
    <row r="424" spans="1:14" s="112" customFormat="1">
      <c r="A424" s="216"/>
      <c r="B424" s="217"/>
      <c r="C424" s="218"/>
      <c r="D424" s="219"/>
      <c r="E424" s="220"/>
      <c r="F424" s="221"/>
      <c r="G424" s="222"/>
      <c r="L424" s="223"/>
      <c r="M424" s="223"/>
      <c r="N424" s="224"/>
    </row>
    <row r="425" spans="1:14" s="112" customFormat="1">
      <c r="A425" s="216"/>
      <c r="B425" s="217"/>
      <c r="C425" s="218"/>
      <c r="D425" s="219"/>
      <c r="E425" s="220"/>
      <c r="F425" s="221"/>
      <c r="G425" s="222"/>
      <c r="L425" s="223"/>
      <c r="M425" s="223"/>
      <c r="N425" s="224"/>
    </row>
    <row r="426" spans="1:14" s="112" customFormat="1">
      <c r="A426" s="216"/>
      <c r="B426" s="217"/>
      <c r="C426" s="218"/>
      <c r="D426" s="219"/>
      <c r="E426" s="220"/>
      <c r="F426" s="221"/>
      <c r="G426" s="222"/>
      <c r="L426" s="223"/>
      <c r="M426" s="223"/>
      <c r="N426" s="224"/>
    </row>
    <row r="427" spans="1:14" s="112" customFormat="1">
      <c r="A427" s="216"/>
      <c r="B427" s="217"/>
      <c r="C427" s="218"/>
      <c r="D427" s="219"/>
      <c r="E427" s="220"/>
      <c r="F427" s="221"/>
      <c r="G427" s="222"/>
      <c r="L427" s="223"/>
      <c r="M427" s="223"/>
      <c r="N427" s="224"/>
    </row>
    <row r="428" spans="1:14" s="112" customFormat="1">
      <c r="A428" s="216"/>
      <c r="B428" s="217"/>
      <c r="C428" s="218"/>
      <c r="D428" s="219"/>
      <c r="E428" s="220"/>
      <c r="F428" s="221"/>
      <c r="G428" s="222"/>
      <c r="L428" s="223"/>
      <c r="M428" s="223"/>
      <c r="N428" s="224"/>
    </row>
    <row r="429" spans="1:14" s="112" customFormat="1">
      <c r="A429" s="216"/>
      <c r="B429" s="217"/>
      <c r="C429" s="218"/>
      <c r="D429" s="219"/>
      <c r="E429" s="220"/>
      <c r="F429" s="221"/>
      <c r="G429" s="222"/>
      <c r="L429" s="223"/>
      <c r="M429" s="223"/>
      <c r="N429" s="224"/>
    </row>
    <row r="430" spans="1:14" s="112" customFormat="1">
      <c r="A430" s="216"/>
      <c r="B430" s="217"/>
      <c r="C430" s="218"/>
      <c r="D430" s="219"/>
      <c r="E430" s="220"/>
      <c r="F430" s="221"/>
      <c r="G430" s="222"/>
      <c r="L430" s="223"/>
      <c r="M430" s="223"/>
      <c r="N430" s="224"/>
    </row>
    <row r="431" spans="1:14" s="112" customFormat="1">
      <c r="A431" s="216"/>
      <c r="B431" s="217"/>
      <c r="C431" s="218"/>
      <c r="D431" s="219"/>
      <c r="E431" s="220"/>
      <c r="F431" s="221"/>
      <c r="G431" s="222"/>
      <c r="L431" s="223"/>
      <c r="M431" s="223"/>
      <c r="N431" s="224"/>
    </row>
    <row r="432" spans="1:14" s="112" customFormat="1">
      <c r="A432" s="216"/>
      <c r="B432" s="217"/>
      <c r="C432" s="218"/>
      <c r="D432" s="219"/>
      <c r="E432" s="220"/>
      <c r="F432" s="221"/>
      <c r="G432" s="222"/>
      <c r="L432" s="223"/>
      <c r="M432" s="223"/>
      <c r="N432" s="224"/>
    </row>
    <row r="433" spans="1:14" s="112" customFormat="1">
      <c r="A433" s="216"/>
      <c r="B433" s="217"/>
      <c r="C433" s="218"/>
      <c r="D433" s="219"/>
      <c r="E433" s="220"/>
      <c r="F433" s="221"/>
      <c r="G433" s="222"/>
      <c r="L433" s="223"/>
      <c r="M433" s="223"/>
      <c r="N433" s="224"/>
    </row>
    <row r="434" spans="1:14" s="112" customFormat="1">
      <c r="A434" s="216"/>
      <c r="B434" s="217"/>
      <c r="C434" s="218"/>
      <c r="D434" s="219"/>
      <c r="E434" s="220"/>
      <c r="F434" s="221"/>
      <c r="G434" s="222"/>
      <c r="L434" s="223"/>
      <c r="M434" s="223"/>
      <c r="N434" s="224"/>
    </row>
    <row r="435" spans="1:14" s="112" customFormat="1">
      <c r="A435" s="216"/>
      <c r="B435" s="217"/>
      <c r="C435" s="218"/>
      <c r="D435" s="219"/>
      <c r="E435" s="220"/>
      <c r="F435" s="221"/>
      <c r="G435" s="222"/>
      <c r="L435" s="223"/>
      <c r="M435" s="223"/>
      <c r="N435" s="224"/>
    </row>
    <row r="436" spans="1:14" s="112" customFormat="1">
      <c r="A436" s="216"/>
      <c r="B436" s="217"/>
      <c r="C436" s="218"/>
      <c r="D436" s="219"/>
      <c r="E436" s="220"/>
      <c r="F436" s="221"/>
      <c r="G436" s="222"/>
      <c r="L436" s="223"/>
      <c r="M436" s="223"/>
      <c r="N436" s="224"/>
    </row>
    <row r="437" spans="1:14" s="112" customFormat="1">
      <c r="A437" s="216"/>
      <c r="B437" s="217"/>
      <c r="C437" s="218"/>
      <c r="D437" s="219"/>
      <c r="E437" s="220"/>
      <c r="F437" s="221"/>
      <c r="G437" s="222"/>
      <c r="L437" s="223"/>
      <c r="M437" s="223"/>
      <c r="N437" s="224"/>
    </row>
    <row r="438" spans="1:14" s="112" customFormat="1">
      <c r="A438" s="216"/>
      <c r="B438" s="217"/>
      <c r="C438" s="218"/>
      <c r="D438" s="219"/>
      <c r="E438" s="220"/>
      <c r="F438" s="221"/>
      <c r="G438" s="222"/>
      <c r="L438" s="223"/>
      <c r="M438" s="223"/>
      <c r="N438" s="224"/>
    </row>
    <row r="439" spans="1:14" s="112" customFormat="1">
      <c r="A439" s="216"/>
      <c r="B439" s="217"/>
      <c r="C439" s="218"/>
      <c r="D439" s="219"/>
      <c r="E439" s="220"/>
      <c r="F439" s="221"/>
      <c r="G439" s="222"/>
      <c r="L439" s="223"/>
      <c r="M439" s="223"/>
      <c r="N439" s="224"/>
    </row>
    <row r="440" spans="1:14" s="112" customFormat="1">
      <c r="A440" s="216"/>
      <c r="B440" s="217"/>
      <c r="C440" s="218"/>
      <c r="D440" s="219"/>
      <c r="E440" s="220"/>
      <c r="F440" s="221"/>
      <c r="G440" s="222"/>
      <c r="L440" s="223"/>
      <c r="M440" s="223"/>
      <c r="N440" s="224"/>
    </row>
    <row r="441" spans="1:14" s="112" customFormat="1">
      <c r="A441" s="216"/>
      <c r="B441" s="217"/>
      <c r="C441" s="218"/>
      <c r="D441" s="219"/>
      <c r="E441" s="220"/>
      <c r="F441" s="221"/>
      <c r="G441" s="222"/>
      <c r="L441" s="223"/>
      <c r="M441" s="223"/>
      <c r="N441" s="224"/>
    </row>
    <row r="442" spans="1:14" s="112" customFormat="1">
      <c r="A442" s="216"/>
      <c r="B442" s="217"/>
      <c r="C442" s="218"/>
      <c r="D442" s="219"/>
      <c r="E442" s="220"/>
      <c r="F442" s="221"/>
      <c r="G442" s="222"/>
      <c r="L442" s="223"/>
      <c r="M442" s="223"/>
      <c r="N442" s="224"/>
    </row>
    <row r="443" spans="1:14" s="112" customFormat="1">
      <c r="A443" s="216"/>
      <c r="B443" s="217"/>
      <c r="C443" s="218"/>
      <c r="D443" s="219"/>
      <c r="E443" s="220"/>
      <c r="F443" s="221"/>
      <c r="G443" s="222"/>
      <c r="L443" s="223"/>
      <c r="M443" s="223"/>
      <c r="N443" s="224"/>
    </row>
    <row r="444" spans="1:14" s="112" customFormat="1">
      <c r="A444" s="216"/>
      <c r="B444" s="217"/>
      <c r="C444" s="218"/>
      <c r="D444" s="219"/>
      <c r="E444" s="220"/>
      <c r="F444" s="221"/>
      <c r="G444" s="222"/>
      <c r="L444" s="223"/>
      <c r="M444" s="223"/>
      <c r="N444" s="224"/>
    </row>
    <row r="445" spans="1:14" s="112" customFormat="1">
      <c r="A445" s="216"/>
      <c r="B445" s="217"/>
      <c r="C445" s="218"/>
      <c r="D445" s="219"/>
      <c r="E445" s="220"/>
      <c r="F445" s="221"/>
      <c r="G445" s="222"/>
      <c r="L445" s="223"/>
      <c r="M445" s="223"/>
      <c r="N445" s="224"/>
    </row>
    <row r="446" spans="1:14" s="112" customFormat="1">
      <c r="A446" s="216"/>
      <c r="B446" s="217"/>
      <c r="C446" s="218"/>
      <c r="D446" s="219"/>
      <c r="E446" s="220"/>
      <c r="F446" s="221"/>
      <c r="G446" s="222"/>
      <c r="L446" s="223"/>
      <c r="M446" s="223"/>
      <c r="N446" s="224"/>
    </row>
    <row r="447" spans="1:14" s="112" customFormat="1">
      <c r="A447" s="216"/>
      <c r="B447" s="217"/>
      <c r="C447" s="218"/>
      <c r="D447" s="219"/>
      <c r="E447" s="220"/>
      <c r="F447" s="221"/>
      <c r="G447" s="222"/>
      <c r="L447" s="223"/>
      <c r="M447" s="223"/>
      <c r="N447" s="224"/>
    </row>
    <row r="448" spans="1:14" s="112" customFormat="1">
      <c r="A448" s="216"/>
      <c r="B448" s="217"/>
      <c r="C448" s="218"/>
      <c r="D448" s="219"/>
      <c r="E448" s="220"/>
      <c r="F448" s="221"/>
      <c r="G448" s="222"/>
      <c r="L448" s="223"/>
      <c r="M448" s="223"/>
      <c r="N448" s="224"/>
    </row>
    <row r="449" spans="1:14" s="112" customFormat="1">
      <c r="A449" s="216"/>
      <c r="B449" s="217"/>
      <c r="C449" s="218"/>
      <c r="D449" s="219"/>
      <c r="E449" s="220"/>
      <c r="F449" s="221"/>
      <c r="G449" s="222"/>
      <c r="L449" s="223"/>
      <c r="M449" s="223"/>
      <c r="N449" s="224"/>
    </row>
    <row r="450" spans="1:14" s="112" customFormat="1">
      <c r="A450" s="216"/>
      <c r="B450" s="217"/>
      <c r="C450" s="218"/>
      <c r="D450" s="219"/>
      <c r="E450" s="220"/>
      <c r="F450" s="221"/>
      <c r="G450" s="222"/>
      <c r="L450" s="223"/>
      <c r="M450" s="223"/>
      <c r="N450" s="224"/>
    </row>
    <row r="451" spans="1:14" s="112" customFormat="1">
      <c r="A451" s="216"/>
      <c r="B451" s="217"/>
      <c r="C451" s="218"/>
      <c r="D451" s="219"/>
      <c r="E451" s="220"/>
      <c r="F451" s="221"/>
      <c r="G451" s="222"/>
      <c r="L451" s="223"/>
      <c r="M451" s="223"/>
      <c r="N451" s="224"/>
    </row>
    <row r="452" spans="1:14" s="112" customFormat="1">
      <c r="A452" s="216"/>
      <c r="B452" s="217"/>
      <c r="C452" s="218"/>
      <c r="D452" s="219"/>
      <c r="E452" s="220"/>
      <c r="F452" s="221"/>
      <c r="G452" s="222"/>
      <c r="L452" s="223"/>
      <c r="M452" s="223"/>
      <c r="N452" s="224"/>
    </row>
    <row r="453" spans="1:14" s="112" customFormat="1">
      <c r="A453" s="216"/>
      <c r="B453" s="217"/>
      <c r="C453" s="218"/>
      <c r="D453" s="219"/>
      <c r="E453" s="220"/>
      <c r="F453" s="221"/>
      <c r="G453" s="222"/>
      <c r="L453" s="223"/>
      <c r="M453" s="223"/>
      <c r="N453" s="224"/>
    </row>
    <row r="454" spans="1:14" s="112" customFormat="1">
      <c r="A454" s="216"/>
      <c r="B454" s="217"/>
      <c r="C454" s="218"/>
      <c r="D454" s="219"/>
      <c r="E454" s="220"/>
      <c r="F454" s="221"/>
      <c r="G454" s="222"/>
      <c r="L454" s="223"/>
      <c r="M454" s="223"/>
      <c r="N454" s="224"/>
    </row>
    <row r="455" spans="1:14" s="112" customFormat="1">
      <c r="A455" s="216"/>
      <c r="B455" s="217"/>
      <c r="C455" s="218"/>
      <c r="D455" s="219"/>
      <c r="E455" s="220"/>
      <c r="F455" s="221"/>
      <c r="G455" s="222"/>
      <c r="L455" s="223"/>
      <c r="M455" s="223"/>
      <c r="N455" s="224"/>
    </row>
    <row r="456" spans="1:14" s="112" customFormat="1">
      <c r="A456" s="216"/>
      <c r="B456" s="217"/>
      <c r="C456" s="218"/>
      <c r="D456" s="219"/>
      <c r="E456" s="220"/>
      <c r="F456" s="221"/>
      <c r="G456" s="222"/>
      <c r="L456" s="223"/>
      <c r="M456" s="223"/>
      <c r="N456" s="224"/>
    </row>
    <row r="457" spans="1:14" s="112" customFormat="1">
      <c r="A457" s="216"/>
      <c r="B457" s="217"/>
      <c r="C457" s="218"/>
      <c r="D457" s="219"/>
      <c r="E457" s="220"/>
      <c r="F457" s="221"/>
      <c r="G457" s="222"/>
      <c r="L457" s="223"/>
      <c r="M457" s="223"/>
      <c r="N457" s="224"/>
    </row>
    <row r="458" spans="1:14" s="112" customFormat="1">
      <c r="A458" s="216"/>
      <c r="B458" s="217"/>
      <c r="C458" s="218"/>
      <c r="D458" s="219"/>
      <c r="E458" s="220"/>
      <c r="F458" s="221"/>
      <c r="G458" s="222"/>
      <c r="L458" s="223"/>
      <c r="M458" s="223"/>
      <c r="N458" s="224"/>
    </row>
    <row r="459" spans="1:14" s="112" customFormat="1">
      <c r="A459" s="216"/>
      <c r="B459" s="217"/>
      <c r="C459" s="218"/>
      <c r="D459" s="219"/>
      <c r="E459" s="220"/>
      <c r="F459" s="221"/>
      <c r="G459" s="222"/>
      <c r="L459" s="223"/>
      <c r="M459" s="223"/>
      <c r="N459" s="224"/>
    </row>
    <row r="460" spans="1:14" s="112" customFormat="1">
      <c r="A460" s="216"/>
      <c r="B460" s="217"/>
      <c r="C460" s="218"/>
      <c r="D460" s="219"/>
      <c r="E460" s="220"/>
      <c r="F460" s="221"/>
      <c r="G460" s="222"/>
      <c r="L460" s="223"/>
      <c r="M460" s="223"/>
      <c r="N460" s="224"/>
    </row>
    <row r="461" spans="1:14" s="112" customFormat="1">
      <c r="A461" s="216"/>
      <c r="B461" s="217"/>
      <c r="C461" s="218"/>
      <c r="D461" s="219"/>
      <c r="E461" s="220"/>
      <c r="F461" s="221"/>
      <c r="G461" s="222"/>
      <c r="L461" s="223"/>
      <c r="M461" s="223"/>
      <c r="N461" s="224"/>
    </row>
    <row r="462" spans="1:14" s="112" customFormat="1">
      <c r="A462" s="216"/>
      <c r="B462" s="217"/>
      <c r="C462" s="218"/>
      <c r="D462" s="219"/>
      <c r="E462" s="220"/>
      <c r="F462" s="221"/>
      <c r="G462" s="222"/>
      <c r="L462" s="223"/>
      <c r="M462" s="223"/>
      <c r="N462" s="224"/>
    </row>
    <row r="463" spans="1:14" s="112" customFormat="1">
      <c r="A463" s="216"/>
      <c r="B463" s="217"/>
      <c r="C463" s="218"/>
      <c r="D463" s="219"/>
      <c r="E463" s="220"/>
      <c r="F463" s="221"/>
      <c r="G463" s="222"/>
      <c r="L463" s="223"/>
      <c r="M463" s="223"/>
      <c r="N463" s="224"/>
    </row>
    <row r="464" spans="1:14" s="112" customFormat="1">
      <c r="A464" s="216"/>
      <c r="B464" s="217"/>
      <c r="C464" s="218"/>
      <c r="D464" s="219"/>
      <c r="E464" s="220"/>
      <c r="F464" s="221"/>
      <c r="G464" s="222"/>
      <c r="L464" s="223"/>
      <c r="M464" s="223"/>
      <c r="N464" s="224"/>
    </row>
    <row r="465" spans="1:14" s="112" customFormat="1">
      <c r="A465" s="216"/>
      <c r="B465" s="217"/>
      <c r="C465" s="218"/>
      <c r="D465" s="219"/>
      <c r="E465" s="220"/>
      <c r="F465" s="221"/>
      <c r="G465" s="222"/>
      <c r="L465" s="223"/>
      <c r="M465" s="223"/>
      <c r="N465" s="224"/>
    </row>
    <row r="466" spans="1:14" s="112" customFormat="1">
      <c r="A466" s="216"/>
      <c r="B466" s="217"/>
      <c r="C466" s="218"/>
      <c r="D466" s="219"/>
      <c r="E466" s="220"/>
      <c r="F466" s="221"/>
      <c r="G466" s="222"/>
      <c r="L466" s="223"/>
      <c r="M466" s="223"/>
      <c r="N466" s="224"/>
    </row>
    <row r="467" spans="1:14" s="112" customFormat="1">
      <c r="A467" s="216"/>
      <c r="B467" s="217"/>
      <c r="C467" s="218"/>
      <c r="D467" s="219"/>
      <c r="E467" s="220"/>
      <c r="F467" s="221"/>
      <c r="G467" s="222"/>
      <c r="L467" s="223"/>
      <c r="M467" s="223"/>
      <c r="N467" s="224"/>
    </row>
    <row r="468" spans="1:14" s="112" customFormat="1">
      <c r="A468" s="216"/>
      <c r="B468" s="217"/>
      <c r="C468" s="218"/>
      <c r="D468" s="219"/>
      <c r="E468" s="220"/>
      <c r="F468" s="221"/>
      <c r="G468" s="222"/>
      <c r="L468" s="223"/>
      <c r="M468" s="223"/>
      <c r="N468" s="224"/>
    </row>
    <row r="469" spans="1:14" s="112" customFormat="1">
      <c r="A469" s="216"/>
      <c r="B469" s="217"/>
      <c r="C469" s="218"/>
      <c r="D469" s="219"/>
      <c r="E469" s="220"/>
      <c r="F469" s="221"/>
      <c r="G469" s="222"/>
      <c r="L469" s="223"/>
      <c r="M469" s="223"/>
      <c r="N469" s="224"/>
    </row>
    <row r="470" spans="1:14" s="112" customFormat="1">
      <c r="A470" s="216"/>
      <c r="B470" s="217"/>
      <c r="C470" s="218"/>
      <c r="D470" s="219"/>
      <c r="E470" s="220"/>
      <c r="F470" s="221"/>
      <c r="G470" s="222"/>
      <c r="L470" s="223"/>
      <c r="M470" s="223"/>
      <c r="N470" s="224"/>
    </row>
    <row r="471" spans="1:14" s="112" customFormat="1">
      <c r="A471" s="216"/>
      <c r="B471" s="217"/>
      <c r="C471" s="218"/>
      <c r="D471" s="219"/>
      <c r="E471" s="220"/>
      <c r="F471" s="221"/>
      <c r="G471" s="222"/>
      <c r="L471" s="223"/>
      <c r="M471" s="223"/>
      <c r="N471" s="224"/>
    </row>
    <row r="472" spans="1:14" s="112" customFormat="1">
      <c r="A472" s="216"/>
      <c r="B472" s="217"/>
      <c r="C472" s="218"/>
      <c r="D472" s="219"/>
      <c r="E472" s="220"/>
      <c r="F472" s="221"/>
      <c r="G472" s="222"/>
      <c r="L472" s="223"/>
      <c r="M472" s="223"/>
      <c r="N472" s="224"/>
    </row>
    <row r="473" spans="1:14" s="112" customFormat="1">
      <c r="A473" s="216"/>
      <c r="B473" s="217"/>
      <c r="C473" s="218"/>
      <c r="D473" s="219"/>
      <c r="E473" s="220"/>
      <c r="F473" s="221"/>
      <c r="G473" s="222"/>
      <c r="L473" s="223"/>
      <c r="M473" s="223"/>
      <c r="N473" s="224"/>
    </row>
    <row r="474" spans="1:14" s="112" customFormat="1">
      <c r="A474" s="216"/>
      <c r="B474" s="217"/>
      <c r="C474" s="218"/>
      <c r="D474" s="219"/>
      <c r="E474" s="220"/>
      <c r="F474" s="221"/>
      <c r="G474" s="222"/>
      <c r="L474" s="223"/>
      <c r="M474" s="223"/>
      <c r="N474" s="224"/>
    </row>
    <row r="475" spans="1:14" s="112" customFormat="1">
      <c r="A475" s="216"/>
      <c r="B475" s="217"/>
      <c r="C475" s="218"/>
      <c r="D475" s="219"/>
      <c r="E475" s="220"/>
      <c r="F475" s="221"/>
      <c r="G475" s="222"/>
      <c r="L475" s="223"/>
      <c r="M475" s="223"/>
      <c r="N475" s="224"/>
    </row>
    <row r="476" spans="1:14" s="112" customFormat="1">
      <c r="A476" s="216"/>
      <c r="B476" s="217"/>
      <c r="C476" s="218"/>
      <c r="D476" s="219"/>
      <c r="E476" s="220"/>
      <c r="F476" s="221"/>
      <c r="G476" s="222"/>
      <c r="L476" s="223"/>
      <c r="M476" s="223"/>
      <c r="N476" s="224"/>
    </row>
    <row r="477" spans="1:14" s="112" customFormat="1">
      <c r="A477" s="216"/>
      <c r="B477" s="217"/>
      <c r="C477" s="218"/>
      <c r="D477" s="219"/>
      <c r="E477" s="220"/>
      <c r="F477" s="221"/>
      <c r="G477" s="222"/>
      <c r="L477" s="223"/>
      <c r="M477" s="223"/>
      <c r="N477" s="224"/>
    </row>
    <row r="478" spans="1:14" s="112" customFormat="1">
      <c r="A478" s="216"/>
      <c r="B478" s="217"/>
      <c r="C478" s="218"/>
      <c r="D478" s="219"/>
      <c r="E478" s="220"/>
      <c r="F478" s="221"/>
      <c r="G478" s="222"/>
      <c r="L478" s="223"/>
      <c r="M478" s="223"/>
      <c r="N478" s="224"/>
    </row>
    <row r="479" spans="1:14" s="112" customFormat="1">
      <c r="A479" s="216"/>
      <c r="B479" s="217"/>
      <c r="C479" s="218"/>
      <c r="D479" s="219"/>
      <c r="E479" s="220"/>
      <c r="F479" s="221"/>
      <c r="G479" s="222"/>
      <c r="L479" s="223"/>
      <c r="M479" s="223"/>
      <c r="N479" s="224"/>
    </row>
    <row r="480" spans="1:14" s="112" customFormat="1">
      <c r="A480" s="216"/>
      <c r="B480" s="217"/>
      <c r="C480" s="218"/>
      <c r="D480" s="219"/>
      <c r="E480" s="220"/>
      <c r="F480" s="221"/>
      <c r="G480" s="222"/>
      <c r="L480" s="223"/>
      <c r="M480" s="223"/>
      <c r="N480" s="224"/>
    </row>
    <row r="481" spans="1:14" s="112" customFormat="1">
      <c r="A481" s="216"/>
      <c r="B481" s="217"/>
      <c r="C481" s="218"/>
      <c r="D481" s="219"/>
      <c r="E481" s="220"/>
      <c r="F481" s="221"/>
      <c r="G481" s="222"/>
      <c r="L481" s="223"/>
      <c r="M481" s="223"/>
      <c r="N481" s="224"/>
    </row>
    <row r="482" spans="1:14" s="112" customFormat="1">
      <c r="A482" s="216"/>
      <c r="B482" s="217"/>
      <c r="C482" s="218"/>
      <c r="D482" s="219"/>
      <c r="E482" s="220"/>
      <c r="F482" s="221"/>
      <c r="G482" s="222"/>
      <c r="L482" s="223"/>
      <c r="M482" s="223"/>
      <c r="N482" s="224"/>
    </row>
    <row r="483" spans="1:14" s="112" customFormat="1">
      <c r="A483" s="216"/>
      <c r="B483" s="217"/>
      <c r="C483" s="218"/>
      <c r="D483" s="219"/>
      <c r="E483" s="220"/>
      <c r="F483" s="221"/>
      <c r="G483" s="222"/>
      <c r="L483" s="223"/>
      <c r="M483" s="223"/>
      <c r="N483" s="224"/>
    </row>
    <row r="484" spans="1:14" s="112" customFormat="1">
      <c r="A484" s="216"/>
      <c r="B484" s="217"/>
      <c r="C484" s="218"/>
      <c r="D484" s="219"/>
      <c r="E484" s="220"/>
      <c r="F484" s="221"/>
      <c r="G484" s="222"/>
      <c r="L484" s="223"/>
      <c r="M484" s="223"/>
      <c r="N484" s="224"/>
    </row>
    <row r="485" spans="1:14" s="112" customFormat="1">
      <c r="A485" s="216"/>
      <c r="B485" s="217"/>
      <c r="C485" s="218"/>
      <c r="D485" s="219"/>
      <c r="E485" s="220"/>
      <c r="F485" s="221"/>
      <c r="G485" s="222"/>
      <c r="L485" s="223"/>
      <c r="M485" s="223"/>
      <c r="N485" s="224"/>
    </row>
    <row r="486" spans="1:14" s="112" customFormat="1">
      <c r="A486" s="216"/>
      <c r="B486" s="217"/>
      <c r="C486" s="218"/>
      <c r="D486" s="219"/>
      <c r="E486" s="220"/>
      <c r="F486" s="221"/>
      <c r="G486" s="222"/>
      <c r="L486" s="223"/>
      <c r="M486" s="223"/>
      <c r="N486" s="224"/>
    </row>
    <row r="487" spans="1:14" s="112" customFormat="1">
      <c r="A487" s="216"/>
      <c r="B487" s="217"/>
      <c r="C487" s="218"/>
      <c r="D487" s="219"/>
      <c r="E487" s="220"/>
      <c r="F487" s="221"/>
      <c r="G487" s="222"/>
      <c r="L487" s="223"/>
      <c r="M487" s="223"/>
      <c r="N487" s="224"/>
    </row>
    <row r="488" spans="1:14" s="112" customFormat="1">
      <c r="A488" s="216"/>
      <c r="B488" s="217"/>
      <c r="C488" s="218"/>
      <c r="D488" s="219"/>
      <c r="E488" s="220"/>
      <c r="F488" s="221"/>
      <c r="G488" s="222"/>
      <c r="L488" s="223"/>
      <c r="M488" s="223"/>
      <c r="N488" s="224"/>
    </row>
    <row r="489" spans="1:14" s="112" customFormat="1">
      <c r="A489" s="216"/>
      <c r="B489" s="217"/>
      <c r="C489" s="218"/>
      <c r="D489" s="219"/>
      <c r="E489" s="220"/>
      <c r="F489" s="221"/>
      <c r="G489" s="222"/>
      <c r="L489" s="223"/>
      <c r="M489" s="223"/>
      <c r="N489" s="224"/>
    </row>
    <row r="490" spans="1:14" s="112" customFormat="1">
      <c r="A490" s="216"/>
      <c r="B490" s="217"/>
      <c r="C490" s="218"/>
      <c r="D490" s="219"/>
      <c r="E490" s="220"/>
      <c r="F490" s="221"/>
      <c r="G490" s="222"/>
      <c r="L490" s="223"/>
      <c r="M490" s="223"/>
      <c r="N490" s="224"/>
    </row>
    <row r="491" spans="1:14" s="112" customFormat="1">
      <c r="A491" s="216"/>
      <c r="B491" s="217"/>
      <c r="C491" s="218"/>
      <c r="D491" s="219"/>
      <c r="E491" s="220"/>
      <c r="F491" s="221"/>
      <c r="G491" s="222"/>
      <c r="L491" s="223"/>
      <c r="M491" s="223"/>
      <c r="N491" s="224"/>
    </row>
    <row r="492" spans="1:14" s="112" customFormat="1">
      <c r="A492" s="216"/>
      <c r="B492" s="217"/>
      <c r="C492" s="218"/>
      <c r="D492" s="219"/>
      <c r="E492" s="220"/>
      <c r="F492" s="221"/>
      <c r="G492" s="222"/>
      <c r="L492" s="223"/>
      <c r="M492" s="223"/>
      <c r="N492" s="224"/>
    </row>
    <row r="493" spans="1:14">
      <c r="B493" s="217"/>
      <c r="C493" s="218"/>
      <c r="D493" s="219"/>
      <c r="E493" s="220"/>
      <c r="F493" s="221"/>
      <c r="G493" s="222"/>
      <c r="H493" s="112"/>
      <c r="L493" s="223"/>
      <c r="M493" s="223"/>
      <c r="N493" s="224"/>
    </row>
    <row r="494" spans="1:14">
      <c r="B494" s="217"/>
      <c r="C494" s="218"/>
      <c r="D494" s="219"/>
      <c r="E494" s="220"/>
      <c r="F494" s="221"/>
      <c r="G494" s="222"/>
      <c r="H494" s="112"/>
      <c r="L494" s="223"/>
      <c r="M494" s="223"/>
      <c r="N494" s="224"/>
    </row>
    <row r="495" spans="1:14">
      <c r="B495" s="217"/>
      <c r="C495" s="218"/>
      <c r="D495" s="219"/>
      <c r="E495" s="220"/>
      <c r="F495" s="221"/>
      <c r="G495" s="222"/>
      <c r="H495" s="112"/>
      <c r="L495" s="223"/>
      <c r="M495" s="223"/>
      <c r="N495" s="224"/>
    </row>
    <row r="496" spans="1:14">
      <c r="B496" s="217"/>
      <c r="C496" s="218"/>
      <c r="D496" s="219"/>
      <c r="E496" s="220"/>
      <c r="F496" s="221"/>
      <c r="G496" s="222"/>
      <c r="H496" s="112"/>
      <c r="L496" s="223"/>
      <c r="M496" s="223"/>
      <c r="N496" s="224"/>
    </row>
    <row r="497" spans="2:14">
      <c r="B497" s="217"/>
      <c r="C497" s="218"/>
      <c r="D497" s="219"/>
      <c r="E497" s="220"/>
      <c r="F497" s="221"/>
      <c r="G497" s="222"/>
      <c r="H497" s="112"/>
      <c r="L497" s="223"/>
      <c r="M497" s="223"/>
      <c r="N497" s="224"/>
    </row>
    <row r="498" spans="2:14">
      <c r="B498" s="217"/>
      <c r="C498" s="218"/>
      <c r="D498" s="219"/>
      <c r="E498" s="220"/>
      <c r="F498" s="221"/>
      <c r="L498" s="223"/>
      <c r="M498" s="223"/>
      <c r="N498" s="224"/>
    </row>
  </sheetData>
  <autoFilter ref="L2:N146"/>
  <sortState ref="A3:R196">
    <sortCondition ref="C3:C196"/>
  </sortState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60" fitToHeight="0" orientation="portrait" r:id="rId1"/>
  <headerFooter alignWithMargins="0"/>
  <rowBreaks count="1" manualBreakCount="1">
    <brk id="50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plit_REPCR">
                <anchor moveWithCells="1" sizeWithCells="1">
                  <from>
                    <xdr:col>14</xdr:col>
                    <xdr:colOff>28575</xdr:colOff>
                    <xdr:row>0</xdr:row>
                    <xdr:rowOff>161925</xdr:rowOff>
                  </from>
                  <to>
                    <xdr:col>14</xdr:col>
                    <xdr:colOff>762000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ctivate_INJECTION">
                <anchor moveWithCells="1" sizeWithCells="1">
                  <from>
                    <xdr:col>15</xdr:col>
                    <xdr:colOff>47625</xdr:colOff>
                    <xdr:row>0</xdr:row>
                    <xdr:rowOff>161925</xdr:rowOff>
                  </from>
                  <to>
                    <xdr:col>16</xdr:col>
                    <xdr:colOff>161925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K498"/>
  <sheetViews>
    <sheetView view="pageBreakPreview" workbookViewId="0">
      <selection activeCell="K4" sqref="K4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375" style="227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145" customFormat="1" ht="37.5" customHeight="1" thickBot="1">
      <c r="A1" s="30"/>
      <c r="B1" s="63" t="s">
        <v>163</v>
      </c>
      <c r="C1" s="314" t="s">
        <v>366</v>
      </c>
      <c r="D1" s="315"/>
      <c r="E1" s="2"/>
      <c r="F1" s="66"/>
      <c r="G1" s="54" t="s">
        <v>164</v>
      </c>
      <c r="H1"/>
      <c r="I1" s="145" t="s">
        <v>165</v>
      </c>
      <c r="J1" s="145" t="s">
        <v>166</v>
      </c>
      <c r="K1"/>
    </row>
    <row r="2" spans="1:11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J3" s="163"/>
      <c r="K3" s="164"/>
    </row>
    <row r="4" spans="1:11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J4" s="163"/>
      <c r="K4" s="164"/>
    </row>
    <row r="5" spans="1:11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J5" s="163"/>
      <c r="K5" s="164"/>
    </row>
    <row r="6" spans="1:11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J6" s="163"/>
      <c r="K6" s="164"/>
    </row>
    <row r="7" spans="1:11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J7" s="163"/>
      <c r="K7" s="164"/>
    </row>
    <row r="8" spans="1:11" s="3" customFormat="1" ht="21" customHeight="1">
      <c r="A8" s="156" t="s">
        <v>17</v>
      </c>
      <c r="B8" s="167"/>
      <c r="C8" s="172"/>
      <c r="D8" s="159"/>
      <c r="E8" s="230"/>
      <c r="F8" s="160"/>
      <c r="G8" s="161"/>
      <c r="H8" s="162"/>
      <c r="J8" s="163"/>
      <c r="K8" s="164"/>
    </row>
    <row r="9" spans="1:11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72"/>
      <c r="D31" s="159"/>
      <c r="E31" s="230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94"/>
      <c r="D38" s="195"/>
      <c r="E38" s="234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72"/>
      <c r="D39" s="159"/>
      <c r="E39" s="230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68"/>
      <c r="D73" s="195"/>
      <c r="E73" s="234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68"/>
      <c r="D74" s="176"/>
      <c r="E74" s="232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30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31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31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31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30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30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30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32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33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31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31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34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30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54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54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32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30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31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31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31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31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54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34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32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30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31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31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31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31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54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34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55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30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30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30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30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30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3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54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55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3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3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3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3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3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54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34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55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3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54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54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54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54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54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54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55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3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3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34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3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54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54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54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55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34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144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144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144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144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144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144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55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20"/>
      <c r="F147" s="221"/>
      <c r="G147" s="222"/>
    </row>
    <row r="148" spans="1:11" s="112" customFormat="1">
      <c r="A148" s="216"/>
      <c r="B148" s="217"/>
      <c r="C148" s="218"/>
      <c r="D148" s="219"/>
      <c r="E148" s="220"/>
      <c r="F148" s="221"/>
      <c r="G148" s="222"/>
    </row>
    <row r="149" spans="1:11" s="112" customFormat="1">
      <c r="A149" s="216"/>
      <c r="B149" s="217"/>
      <c r="C149" s="218"/>
      <c r="D149" s="219"/>
      <c r="E149" s="220"/>
      <c r="F149" s="221"/>
      <c r="G149" s="222"/>
    </row>
    <row r="150" spans="1:11" s="112" customFormat="1">
      <c r="A150" s="216"/>
      <c r="B150" s="217"/>
      <c r="C150" s="218"/>
      <c r="D150" s="219"/>
      <c r="E150" s="220"/>
      <c r="F150" s="221"/>
      <c r="G150" s="222"/>
    </row>
    <row r="151" spans="1:11" s="112" customFormat="1">
      <c r="A151" s="216"/>
      <c r="B151" s="217"/>
      <c r="C151" s="218"/>
      <c r="D151" s="219"/>
      <c r="E151" s="220"/>
      <c r="F151" s="221"/>
      <c r="G151" s="222"/>
    </row>
    <row r="152" spans="1:11" s="112" customFormat="1">
      <c r="A152" s="216"/>
      <c r="B152" s="217"/>
      <c r="C152" s="218"/>
      <c r="D152" s="219"/>
      <c r="E152" s="220"/>
      <c r="F152" s="221"/>
      <c r="G152" s="222"/>
    </row>
    <row r="153" spans="1:11" s="112" customFormat="1">
      <c r="A153" s="216"/>
      <c r="B153" s="217"/>
      <c r="C153" s="218"/>
      <c r="D153" s="219"/>
      <c r="E153" s="220"/>
      <c r="F153" s="221"/>
      <c r="G153" s="222"/>
    </row>
    <row r="154" spans="1:11" s="112" customFormat="1">
      <c r="A154" s="216"/>
      <c r="B154" s="217"/>
      <c r="C154" s="218"/>
      <c r="D154" s="219"/>
      <c r="E154" s="220"/>
      <c r="F154" s="221"/>
      <c r="G154" s="222"/>
    </row>
    <row r="155" spans="1:11" s="112" customFormat="1">
      <c r="A155" s="216"/>
      <c r="B155" s="217"/>
      <c r="C155" s="218"/>
      <c r="D155" s="219"/>
      <c r="E155" s="220"/>
      <c r="F155" s="221"/>
      <c r="G155" s="222"/>
    </row>
    <row r="156" spans="1:11" s="112" customFormat="1">
      <c r="A156" s="216"/>
      <c r="B156" s="217"/>
      <c r="C156" s="218"/>
      <c r="D156" s="219"/>
      <c r="E156" s="220"/>
      <c r="F156" s="221"/>
      <c r="G156" s="222"/>
    </row>
    <row r="157" spans="1:11" s="112" customFormat="1">
      <c r="A157" s="216"/>
      <c r="B157" s="217"/>
      <c r="C157" s="218"/>
      <c r="D157" s="219"/>
      <c r="E157" s="220"/>
      <c r="F157" s="221"/>
      <c r="G157" s="222"/>
    </row>
    <row r="158" spans="1:11" s="112" customFormat="1">
      <c r="A158" s="216"/>
      <c r="B158" s="217"/>
      <c r="C158" s="218"/>
      <c r="D158" s="219"/>
      <c r="E158" s="220"/>
      <c r="F158" s="221"/>
      <c r="G158" s="222"/>
    </row>
    <row r="159" spans="1:11" s="112" customFormat="1">
      <c r="A159" s="216"/>
      <c r="B159" s="217"/>
      <c r="C159" s="218"/>
      <c r="D159" s="219"/>
      <c r="E159" s="220"/>
      <c r="F159" s="221"/>
      <c r="G159" s="222"/>
    </row>
    <row r="160" spans="1:11" s="112" customFormat="1">
      <c r="A160" s="216"/>
      <c r="B160" s="217"/>
      <c r="C160" s="218"/>
      <c r="D160" s="219"/>
      <c r="E160" s="220"/>
      <c r="F160" s="221"/>
      <c r="G160" s="222"/>
    </row>
    <row r="161" spans="1:7" s="112" customFormat="1">
      <c r="A161" s="216"/>
      <c r="B161" s="217"/>
      <c r="C161" s="218"/>
      <c r="D161" s="219"/>
      <c r="E161" s="220"/>
      <c r="F161" s="221"/>
      <c r="G161" s="222"/>
    </row>
    <row r="162" spans="1:7" s="112" customFormat="1">
      <c r="A162" s="216"/>
      <c r="B162" s="217"/>
      <c r="C162" s="218"/>
      <c r="D162" s="219"/>
      <c r="E162" s="220"/>
      <c r="F162" s="221"/>
      <c r="G162" s="222"/>
    </row>
    <row r="163" spans="1:7" s="112" customFormat="1">
      <c r="A163" s="216"/>
      <c r="B163" s="217"/>
      <c r="C163" s="218"/>
      <c r="D163" s="219"/>
      <c r="E163" s="220"/>
      <c r="F163" s="221"/>
      <c r="G163" s="222"/>
    </row>
    <row r="164" spans="1:7" s="112" customFormat="1">
      <c r="A164" s="216"/>
      <c r="B164" s="217"/>
      <c r="C164" s="218"/>
      <c r="D164" s="219"/>
      <c r="E164" s="220"/>
      <c r="F164" s="221"/>
      <c r="G164" s="222"/>
    </row>
    <row r="165" spans="1:7" s="112" customFormat="1">
      <c r="A165" s="216"/>
      <c r="B165" s="217"/>
      <c r="C165" s="218"/>
      <c r="D165" s="219"/>
      <c r="E165" s="220"/>
      <c r="F165" s="221"/>
      <c r="G165" s="222"/>
    </row>
    <row r="166" spans="1:7" s="112" customFormat="1">
      <c r="A166" s="216"/>
      <c r="B166" s="217"/>
      <c r="C166" s="218"/>
      <c r="D166" s="219"/>
      <c r="E166" s="220"/>
      <c r="F166" s="221"/>
      <c r="G166" s="222"/>
    </row>
    <row r="167" spans="1:7" s="112" customFormat="1">
      <c r="A167" s="216"/>
      <c r="B167" s="217"/>
      <c r="C167" s="218"/>
      <c r="D167" s="219"/>
      <c r="E167" s="220"/>
      <c r="F167" s="221"/>
      <c r="G167" s="222"/>
    </row>
    <row r="168" spans="1:7" s="112" customFormat="1">
      <c r="A168" s="216"/>
      <c r="B168" s="217"/>
      <c r="C168" s="218"/>
      <c r="D168" s="219"/>
      <c r="E168" s="220"/>
      <c r="F168" s="221"/>
      <c r="G168" s="222"/>
    </row>
    <row r="169" spans="1:7" s="112" customFormat="1">
      <c r="A169" s="216"/>
      <c r="B169" s="217"/>
      <c r="C169" s="218"/>
      <c r="D169" s="219"/>
      <c r="E169" s="220"/>
      <c r="F169" s="221"/>
      <c r="G169" s="222"/>
    </row>
    <row r="170" spans="1:7" s="112" customFormat="1">
      <c r="A170" s="216"/>
      <c r="B170" s="217"/>
      <c r="C170" s="218"/>
      <c r="D170" s="219"/>
      <c r="E170" s="220"/>
      <c r="F170" s="221"/>
      <c r="G170" s="222"/>
    </row>
    <row r="171" spans="1:7" s="112" customFormat="1">
      <c r="A171" s="216"/>
      <c r="B171" s="217"/>
      <c r="C171" s="218"/>
      <c r="D171" s="219"/>
      <c r="E171" s="220"/>
      <c r="F171" s="221"/>
      <c r="G171" s="222"/>
    </row>
    <row r="172" spans="1:7" s="112" customFormat="1">
      <c r="A172" s="216"/>
      <c r="B172" s="217"/>
      <c r="C172" s="218"/>
      <c r="D172" s="219"/>
      <c r="E172" s="220"/>
      <c r="F172" s="221"/>
      <c r="G172" s="222"/>
    </row>
    <row r="173" spans="1:7" s="112" customFormat="1">
      <c r="A173" s="216"/>
      <c r="B173" s="217"/>
      <c r="C173" s="218"/>
      <c r="D173" s="219"/>
      <c r="E173" s="220"/>
      <c r="F173" s="221"/>
      <c r="G173" s="222"/>
    </row>
    <row r="174" spans="1:7" s="112" customFormat="1">
      <c r="A174" s="216"/>
      <c r="B174" s="217"/>
      <c r="C174" s="218"/>
      <c r="D174" s="219"/>
      <c r="E174" s="220"/>
      <c r="F174" s="221"/>
      <c r="G174" s="222"/>
    </row>
    <row r="175" spans="1:7" s="112" customFormat="1">
      <c r="A175" s="216"/>
      <c r="B175" s="217"/>
      <c r="C175" s="218"/>
      <c r="D175" s="219"/>
      <c r="E175" s="220"/>
      <c r="F175" s="221"/>
      <c r="G175" s="222"/>
    </row>
    <row r="176" spans="1:7" s="112" customFormat="1">
      <c r="A176" s="216"/>
      <c r="B176" s="217"/>
      <c r="C176" s="218"/>
      <c r="D176" s="219"/>
      <c r="E176" s="220"/>
      <c r="F176" s="221"/>
      <c r="G176" s="222"/>
    </row>
    <row r="177" spans="1:7" s="112" customFormat="1">
      <c r="A177" s="216"/>
      <c r="B177" s="217"/>
      <c r="C177" s="218"/>
      <c r="D177" s="219"/>
      <c r="E177" s="220"/>
      <c r="F177" s="221"/>
      <c r="G177" s="222"/>
    </row>
    <row r="178" spans="1:7" s="112" customFormat="1">
      <c r="A178" s="216"/>
      <c r="B178" s="217"/>
      <c r="C178" s="218"/>
      <c r="D178" s="219"/>
      <c r="E178" s="220"/>
      <c r="F178" s="221"/>
      <c r="G178" s="222"/>
    </row>
    <row r="179" spans="1:7" s="112" customFormat="1">
      <c r="A179" s="216"/>
      <c r="B179" s="217"/>
      <c r="C179" s="218"/>
      <c r="D179" s="219"/>
      <c r="E179" s="220"/>
      <c r="F179" s="221"/>
      <c r="G179" s="222"/>
    </row>
    <row r="180" spans="1:7" s="112" customFormat="1">
      <c r="A180" s="216"/>
      <c r="B180" s="217"/>
      <c r="C180" s="218"/>
      <c r="D180" s="219"/>
      <c r="E180" s="220"/>
      <c r="F180" s="221"/>
      <c r="G180" s="222"/>
    </row>
    <row r="181" spans="1:7" s="112" customFormat="1">
      <c r="A181" s="216"/>
      <c r="B181" s="217"/>
      <c r="C181" s="218"/>
      <c r="D181" s="219"/>
      <c r="E181" s="220"/>
      <c r="F181" s="221"/>
      <c r="G181" s="222"/>
    </row>
    <row r="182" spans="1:7" s="112" customFormat="1">
      <c r="A182" s="216"/>
      <c r="B182" s="217"/>
      <c r="C182" s="218"/>
      <c r="D182" s="219"/>
      <c r="E182" s="220"/>
      <c r="F182" s="221"/>
      <c r="G182" s="222"/>
    </row>
    <row r="183" spans="1:7" s="112" customFormat="1">
      <c r="A183" s="216"/>
      <c r="B183" s="217"/>
      <c r="C183" s="218"/>
      <c r="D183" s="219"/>
      <c r="E183" s="220"/>
      <c r="F183" s="221"/>
      <c r="G183" s="222"/>
    </row>
    <row r="184" spans="1:7" s="112" customFormat="1">
      <c r="A184" s="216"/>
      <c r="B184" s="217"/>
      <c r="C184" s="218"/>
      <c r="D184" s="219"/>
      <c r="E184" s="220"/>
      <c r="F184" s="221"/>
      <c r="G184" s="222"/>
    </row>
    <row r="185" spans="1:7" s="112" customFormat="1">
      <c r="A185" s="216"/>
      <c r="B185" s="217"/>
      <c r="C185" s="218"/>
      <c r="D185" s="219"/>
      <c r="E185" s="220"/>
      <c r="F185" s="221"/>
      <c r="G185" s="222"/>
    </row>
    <row r="186" spans="1:7" s="112" customFormat="1">
      <c r="A186" s="216"/>
      <c r="B186" s="217"/>
      <c r="C186" s="218"/>
      <c r="D186" s="219"/>
      <c r="E186" s="220"/>
      <c r="F186" s="221"/>
      <c r="G186" s="222"/>
    </row>
    <row r="187" spans="1:7" s="112" customFormat="1">
      <c r="A187" s="216"/>
      <c r="B187" s="217"/>
      <c r="C187" s="218"/>
      <c r="D187" s="219"/>
      <c r="E187" s="220"/>
      <c r="F187" s="221"/>
      <c r="G187" s="222"/>
    </row>
    <row r="188" spans="1:7" s="112" customFormat="1">
      <c r="A188" s="216"/>
      <c r="B188" s="217"/>
      <c r="C188" s="218"/>
      <c r="D188" s="219"/>
      <c r="E188" s="220"/>
      <c r="F188" s="221"/>
      <c r="G188" s="222"/>
    </row>
    <row r="189" spans="1:7" s="112" customFormat="1">
      <c r="A189" s="216"/>
      <c r="B189" s="217"/>
      <c r="C189" s="218"/>
      <c r="D189" s="219"/>
      <c r="E189" s="220"/>
      <c r="F189" s="221"/>
      <c r="G189" s="222"/>
    </row>
    <row r="190" spans="1:7" s="112" customFormat="1">
      <c r="A190" s="216"/>
      <c r="B190" s="217"/>
      <c r="C190" s="218"/>
      <c r="D190" s="219"/>
      <c r="E190" s="220"/>
      <c r="F190" s="221"/>
      <c r="G190" s="222"/>
    </row>
    <row r="191" spans="1:7" s="112" customFormat="1">
      <c r="A191" s="216"/>
      <c r="B191" s="217"/>
      <c r="C191" s="218"/>
      <c r="D191" s="219"/>
      <c r="E191" s="220"/>
      <c r="F191" s="221"/>
      <c r="G191" s="222"/>
    </row>
    <row r="192" spans="1:7" s="112" customFormat="1">
      <c r="A192" s="216"/>
      <c r="B192" s="217"/>
      <c r="C192" s="218"/>
      <c r="D192" s="219"/>
      <c r="E192" s="220"/>
      <c r="F192" s="221"/>
      <c r="G192" s="222"/>
    </row>
    <row r="193" spans="1:7" s="112" customFormat="1">
      <c r="A193" s="216"/>
      <c r="B193" s="217"/>
      <c r="C193" s="218"/>
      <c r="D193" s="219"/>
      <c r="E193" s="220"/>
      <c r="F193" s="221"/>
      <c r="G193" s="222"/>
    </row>
    <row r="194" spans="1:7" s="112" customFormat="1">
      <c r="A194" s="216"/>
      <c r="B194" s="217"/>
      <c r="C194" s="218"/>
      <c r="D194" s="219"/>
      <c r="E194" s="220"/>
      <c r="F194" s="221"/>
      <c r="G194" s="222"/>
    </row>
    <row r="195" spans="1:7" s="112" customFormat="1">
      <c r="A195" s="216"/>
      <c r="B195" s="217"/>
      <c r="C195" s="218"/>
      <c r="D195" s="219"/>
      <c r="E195" s="220"/>
      <c r="F195" s="221"/>
      <c r="G195" s="222"/>
    </row>
    <row r="196" spans="1:7" s="112" customFormat="1">
      <c r="A196" s="216"/>
      <c r="B196" s="217"/>
      <c r="C196" s="218"/>
      <c r="D196" s="219"/>
      <c r="E196" s="220"/>
      <c r="F196" s="221"/>
      <c r="G196" s="222"/>
    </row>
    <row r="197" spans="1:7" s="112" customFormat="1">
      <c r="A197" s="216"/>
      <c r="B197" s="217"/>
      <c r="C197" s="218"/>
      <c r="D197" s="219"/>
      <c r="E197" s="220"/>
      <c r="F197" s="221"/>
      <c r="G197" s="222"/>
    </row>
    <row r="198" spans="1:7" s="112" customFormat="1">
      <c r="A198" s="216"/>
      <c r="B198" s="217"/>
      <c r="C198" s="218"/>
      <c r="D198" s="219"/>
      <c r="E198" s="220"/>
      <c r="F198" s="221"/>
      <c r="G198" s="222"/>
    </row>
    <row r="199" spans="1:7" s="112" customFormat="1">
      <c r="A199" s="216"/>
      <c r="B199" s="217"/>
      <c r="C199" s="218"/>
      <c r="D199" s="219"/>
      <c r="E199" s="220"/>
      <c r="F199" s="221"/>
      <c r="G199" s="222"/>
    </row>
    <row r="200" spans="1:7" s="112" customFormat="1">
      <c r="A200" s="216"/>
      <c r="B200" s="217"/>
      <c r="C200" s="218"/>
      <c r="D200" s="219"/>
      <c r="E200" s="220"/>
      <c r="F200" s="221"/>
      <c r="G200" s="222"/>
    </row>
    <row r="201" spans="1:7" s="112" customFormat="1">
      <c r="A201" s="216"/>
      <c r="B201" s="217"/>
      <c r="C201" s="218"/>
      <c r="D201" s="219"/>
      <c r="E201" s="220"/>
      <c r="F201" s="221"/>
      <c r="G201" s="222"/>
    </row>
    <row r="202" spans="1:7" s="112" customFormat="1">
      <c r="A202" s="216"/>
      <c r="B202" s="217"/>
      <c r="C202" s="218"/>
      <c r="D202" s="219"/>
      <c r="E202" s="220"/>
      <c r="F202" s="221"/>
      <c r="G202" s="222"/>
    </row>
    <row r="203" spans="1:7" s="112" customFormat="1">
      <c r="A203" s="216"/>
      <c r="B203" s="217"/>
      <c r="C203" s="218"/>
      <c r="D203" s="219"/>
      <c r="E203" s="220"/>
      <c r="F203" s="221"/>
      <c r="G203" s="222"/>
    </row>
    <row r="204" spans="1:7" s="112" customFormat="1">
      <c r="A204" s="216"/>
      <c r="B204" s="217"/>
      <c r="C204" s="218"/>
      <c r="D204" s="219"/>
      <c r="E204" s="220"/>
      <c r="F204" s="221"/>
      <c r="G204" s="222"/>
    </row>
    <row r="205" spans="1:7" s="112" customFormat="1">
      <c r="A205" s="216"/>
      <c r="B205" s="217"/>
      <c r="C205" s="218"/>
      <c r="D205" s="219"/>
      <c r="E205" s="220"/>
      <c r="F205" s="221"/>
      <c r="G205" s="222"/>
    </row>
    <row r="206" spans="1:7" s="112" customFormat="1">
      <c r="A206" s="216"/>
      <c r="B206" s="217"/>
      <c r="C206" s="218"/>
      <c r="D206" s="219"/>
      <c r="E206" s="220"/>
      <c r="F206" s="221"/>
      <c r="G206" s="222"/>
    </row>
    <row r="207" spans="1:7" s="112" customFormat="1">
      <c r="A207" s="216"/>
      <c r="B207" s="217"/>
      <c r="C207" s="218"/>
      <c r="D207" s="219"/>
      <c r="E207" s="220"/>
      <c r="F207" s="221"/>
      <c r="G207" s="222"/>
    </row>
    <row r="208" spans="1:7" s="112" customFormat="1">
      <c r="A208" s="216"/>
      <c r="B208" s="217"/>
      <c r="C208" s="218"/>
      <c r="D208" s="219"/>
      <c r="E208" s="220"/>
      <c r="F208" s="221"/>
      <c r="G208" s="222"/>
    </row>
    <row r="209" spans="1:7" s="112" customFormat="1">
      <c r="A209" s="216"/>
      <c r="B209" s="217"/>
      <c r="C209" s="218"/>
      <c r="D209" s="219"/>
      <c r="E209" s="220"/>
      <c r="F209" s="221"/>
      <c r="G209" s="222"/>
    </row>
    <row r="210" spans="1:7" s="112" customFormat="1">
      <c r="A210" s="216"/>
      <c r="B210" s="217"/>
      <c r="C210" s="218"/>
      <c r="D210" s="219"/>
      <c r="E210" s="220"/>
      <c r="F210" s="221"/>
      <c r="G210" s="222"/>
    </row>
    <row r="211" spans="1:7" s="112" customFormat="1">
      <c r="A211" s="216"/>
      <c r="B211" s="217"/>
      <c r="C211" s="218"/>
      <c r="D211" s="219"/>
      <c r="E211" s="220"/>
      <c r="F211" s="221"/>
      <c r="G211" s="222"/>
    </row>
    <row r="212" spans="1:7" s="112" customFormat="1">
      <c r="A212" s="216"/>
      <c r="B212" s="217"/>
      <c r="C212" s="218"/>
      <c r="D212" s="219"/>
      <c r="E212" s="220"/>
      <c r="F212" s="221"/>
      <c r="G212" s="222"/>
    </row>
    <row r="213" spans="1:7" s="112" customFormat="1">
      <c r="A213" s="216"/>
      <c r="B213" s="217"/>
      <c r="C213" s="218"/>
      <c r="D213" s="219"/>
      <c r="E213" s="220"/>
      <c r="F213" s="221"/>
      <c r="G213" s="222"/>
    </row>
    <row r="214" spans="1:7" s="112" customFormat="1">
      <c r="A214" s="216"/>
      <c r="B214" s="217"/>
      <c r="C214" s="218"/>
      <c r="D214" s="219"/>
      <c r="E214" s="220"/>
      <c r="F214" s="221"/>
      <c r="G214" s="222"/>
    </row>
    <row r="215" spans="1:7" s="112" customFormat="1">
      <c r="A215" s="216"/>
      <c r="B215" s="217"/>
      <c r="C215" s="218"/>
      <c r="D215" s="219"/>
      <c r="E215" s="220"/>
      <c r="F215" s="221"/>
      <c r="G215" s="222"/>
    </row>
    <row r="216" spans="1:7" s="112" customFormat="1">
      <c r="A216" s="216"/>
      <c r="B216" s="217"/>
      <c r="C216" s="218"/>
      <c r="D216" s="219"/>
      <c r="E216" s="220"/>
      <c r="F216" s="221"/>
      <c r="G216" s="222"/>
    </row>
    <row r="217" spans="1:7" s="112" customFormat="1">
      <c r="A217" s="216"/>
      <c r="B217" s="217"/>
      <c r="C217" s="218"/>
      <c r="D217" s="219"/>
      <c r="E217" s="220"/>
      <c r="F217" s="221"/>
      <c r="G217" s="222"/>
    </row>
    <row r="218" spans="1:7" s="112" customFormat="1">
      <c r="A218" s="216"/>
      <c r="B218" s="217"/>
      <c r="C218" s="218"/>
      <c r="D218" s="219"/>
      <c r="E218" s="220"/>
      <c r="F218" s="221"/>
      <c r="G218" s="222"/>
    </row>
    <row r="219" spans="1:7" s="112" customFormat="1">
      <c r="A219" s="216"/>
      <c r="B219" s="217"/>
      <c r="C219" s="218"/>
      <c r="D219" s="219"/>
      <c r="E219" s="220"/>
      <c r="F219" s="221"/>
      <c r="G219" s="222"/>
    </row>
    <row r="220" spans="1:7" s="112" customFormat="1">
      <c r="A220" s="216"/>
      <c r="B220" s="217"/>
      <c r="C220" s="218"/>
      <c r="D220" s="219"/>
      <c r="E220" s="220"/>
      <c r="F220" s="221"/>
      <c r="G220" s="222"/>
    </row>
    <row r="221" spans="1:7" s="112" customFormat="1">
      <c r="A221" s="216"/>
      <c r="B221" s="217"/>
      <c r="C221" s="218"/>
      <c r="D221" s="219"/>
      <c r="E221" s="220"/>
      <c r="F221" s="221"/>
      <c r="G221" s="222"/>
    </row>
    <row r="222" spans="1:7" s="112" customFormat="1">
      <c r="A222" s="216"/>
      <c r="B222" s="217"/>
      <c r="C222" s="218"/>
      <c r="D222" s="219"/>
      <c r="E222" s="220"/>
      <c r="F222" s="221"/>
      <c r="G222" s="222"/>
    </row>
    <row r="223" spans="1:7" s="112" customFormat="1">
      <c r="A223" s="216"/>
      <c r="B223" s="217"/>
      <c r="C223" s="218"/>
      <c r="D223" s="219"/>
      <c r="E223" s="220"/>
      <c r="F223" s="221"/>
      <c r="G223" s="222"/>
    </row>
    <row r="224" spans="1:7" s="112" customFormat="1">
      <c r="A224" s="216"/>
      <c r="B224" s="217"/>
      <c r="C224" s="218"/>
      <c r="D224" s="219"/>
      <c r="E224" s="220"/>
      <c r="F224" s="221"/>
      <c r="G224" s="222"/>
    </row>
    <row r="225" spans="1:7" s="112" customFormat="1">
      <c r="A225" s="216"/>
      <c r="B225" s="217"/>
      <c r="C225" s="218"/>
      <c r="D225" s="219"/>
      <c r="E225" s="220"/>
      <c r="F225" s="221"/>
      <c r="G225" s="222"/>
    </row>
    <row r="226" spans="1:7" s="112" customFormat="1">
      <c r="A226" s="216"/>
      <c r="B226" s="217"/>
      <c r="C226" s="218"/>
      <c r="D226" s="219"/>
      <c r="E226" s="220"/>
      <c r="F226" s="221"/>
      <c r="G226" s="222"/>
    </row>
    <row r="227" spans="1:7" s="112" customFormat="1">
      <c r="A227" s="216"/>
      <c r="B227" s="217"/>
      <c r="C227" s="218"/>
      <c r="D227" s="219"/>
      <c r="E227" s="220"/>
      <c r="F227" s="221"/>
      <c r="G227" s="222"/>
    </row>
    <row r="228" spans="1:7" s="112" customFormat="1">
      <c r="A228" s="216"/>
      <c r="B228" s="217"/>
      <c r="C228" s="218"/>
      <c r="D228" s="219"/>
      <c r="E228" s="220"/>
      <c r="F228" s="221"/>
      <c r="G228" s="222"/>
    </row>
    <row r="229" spans="1:7" s="112" customFormat="1">
      <c r="A229" s="216"/>
      <c r="B229" s="217"/>
      <c r="C229" s="218"/>
      <c r="D229" s="219"/>
      <c r="E229" s="220"/>
      <c r="F229" s="221"/>
      <c r="G229" s="222"/>
    </row>
    <row r="230" spans="1:7" s="112" customFormat="1">
      <c r="A230" s="216"/>
      <c r="B230" s="217"/>
      <c r="C230" s="218"/>
      <c r="D230" s="219"/>
      <c r="E230" s="220"/>
      <c r="F230" s="221"/>
      <c r="G230" s="222"/>
    </row>
    <row r="231" spans="1:7" s="112" customFormat="1">
      <c r="A231" s="216"/>
      <c r="B231" s="217"/>
      <c r="C231" s="218"/>
      <c r="D231" s="219"/>
      <c r="E231" s="220"/>
      <c r="F231" s="221"/>
      <c r="G231" s="222"/>
    </row>
    <row r="232" spans="1:7" s="112" customFormat="1">
      <c r="A232" s="216"/>
      <c r="B232" s="217"/>
      <c r="C232" s="218"/>
      <c r="D232" s="219"/>
      <c r="E232" s="220"/>
      <c r="F232" s="221"/>
      <c r="G232" s="222"/>
    </row>
    <row r="233" spans="1:7" s="112" customFormat="1">
      <c r="A233" s="216"/>
      <c r="B233" s="217"/>
      <c r="C233" s="218"/>
      <c r="D233" s="219"/>
      <c r="E233" s="220"/>
      <c r="F233" s="221"/>
      <c r="G233" s="222"/>
    </row>
    <row r="234" spans="1:7" s="112" customFormat="1">
      <c r="A234" s="216"/>
      <c r="B234" s="217"/>
      <c r="C234" s="218"/>
      <c r="D234" s="219"/>
      <c r="E234" s="220"/>
      <c r="F234" s="221"/>
      <c r="G234" s="222"/>
    </row>
    <row r="235" spans="1:7" s="112" customFormat="1">
      <c r="A235" s="216"/>
      <c r="B235" s="217"/>
      <c r="C235" s="218"/>
      <c r="D235" s="219"/>
      <c r="E235" s="220"/>
      <c r="F235" s="221"/>
      <c r="G235" s="222"/>
    </row>
    <row r="236" spans="1:7" s="112" customFormat="1">
      <c r="A236" s="216"/>
      <c r="B236" s="217"/>
      <c r="C236" s="218"/>
      <c r="D236" s="219"/>
      <c r="E236" s="220"/>
      <c r="F236" s="221"/>
      <c r="G236" s="222"/>
    </row>
    <row r="237" spans="1:7" s="112" customFormat="1">
      <c r="A237" s="216"/>
      <c r="B237" s="217"/>
      <c r="C237" s="218"/>
      <c r="D237" s="219"/>
      <c r="E237" s="220"/>
      <c r="F237" s="221"/>
      <c r="G237" s="222"/>
    </row>
    <row r="238" spans="1:7" s="112" customFormat="1">
      <c r="A238" s="216"/>
      <c r="B238" s="217"/>
      <c r="C238" s="218"/>
      <c r="D238" s="219"/>
      <c r="E238" s="220"/>
      <c r="F238" s="221"/>
      <c r="G238" s="222"/>
    </row>
    <row r="239" spans="1:7" s="112" customFormat="1">
      <c r="A239" s="216"/>
      <c r="B239" s="217"/>
      <c r="C239" s="218"/>
      <c r="D239" s="219"/>
      <c r="E239" s="220"/>
      <c r="F239" s="221"/>
      <c r="G239" s="222"/>
    </row>
    <row r="240" spans="1:7" s="112" customFormat="1">
      <c r="A240" s="216"/>
      <c r="B240" s="217"/>
      <c r="C240" s="218"/>
      <c r="D240" s="219"/>
      <c r="E240" s="220"/>
      <c r="F240" s="221"/>
      <c r="G240" s="222"/>
    </row>
    <row r="241" spans="1:7" s="112" customFormat="1">
      <c r="A241" s="216"/>
      <c r="B241" s="217"/>
      <c r="C241" s="218"/>
      <c r="D241" s="219"/>
      <c r="E241" s="220"/>
      <c r="F241" s="221"/>
      <c r="G241" s="222"/>
    </row>
    <row r="242" spans="1:7" s="112" customFormat="1">
      <c r="A242" s="216"/>
      <c r="B242" s="217"/>
      <c r="C242" s="218"/>
      <c r="D242" s="219"/>
      <c r="E242" s="220"/>
      <c r="F242" s="221"/>
      <c r="G242" s="222"/>
    </row>
    <row r="243" spans="1:7" s="112" customFormat="1">
      <c r="A243" s="216"/>
      <c r="B243" s="217"/>
      <c r="C243" s="218"/>
      <c r="D243" s="219"/>
      <c r="E243" s="220"/>
      <c r="F243" s="221"/>
      <c r="G243" s="222"/>
    </row>
    <row r="244" spans="1:7" s="112" customFormat="1">
      <c r="A244" s="216"/>
      <c r="B244" s="217"/>
      <c r="C244" s="218"/>
      <c r="D244" s="219"/>
      <c r="E244" s="220"/>
      <c r="F244" s="221"/>
      <c r="G244" s="222"/>
    </row>
    <row r="245" spans="1:7" s="112" customFormat="1">
      <c r="A245" s="216"/>
      <c r="B245" s="217"/>
      <c r="C245" s="218"/>
      <c r="D245" s="219"/>
      <c r="E245" s="220"/>
      <c r="F245" s="221"/>
      <c r="G245" s="222"/>
    </row>
    <row r="246" spans="1:7" s="112" customFormat="1">
      <c r="A246" s="216"/>
      <c r="B246" s="217"/>
      <c r="C246" s="218"/>
      <c r="D246" s="219"/>
      <c r="E246" s="220"/>
      <c r="F246" s="221"/>
      <c r="G246" s="222"/>
    </row>
    <row r="247" spans="1:7" s="112" customFormat="1">
      <c r="A247" s="216"/>
      <c r="B247" s="217"/>
      <c r="C247" s="218"/>
      <c r="D247" s="219"/>
      <c r="E247" s="220"/>
      <c r="F247" s="221"/>
      <c r="G247" s="222"/>
    </row>
    <row r="248" spans="1:7" s="112" customFormat="1">
      <c r="A248" s="216"/>
      <c r="B248" s="217"/>
      <c r="C248" s="218"/>
      <c r="D248" s="219"/>
      <c r="E248" s="220"/>
      <c r="F248" s="221"/>
      <c r="G248" s="222"/>
    </row>
    <row r="249" spans="1:7" s="112" customFormat="1">
      <c r="A249" s="216"/>
      <c r="B249" s="217"/>
      <c r="C249" s="218"/>
      <c r="D249" s="219"/>
      <c r="E249" s="220"/>
      <c r="F249" s="221"/>
      <c r="G249" s="222"/>
    </row>
    <row r="250" spans="1:7" s="112" customFormat="1">
      <c r="A250" s="216"/>
      <c r="B250" s="217"/>
      <c r="C250" s="218"/>
      <c r="D250" s="219"/>
      <c r="E250" s="220"/>
      <c r="F250" s="221"/>
      <c r="G250" s="222"/>
    </row>
    <row r="251" spans="1:7" s="112" customFormat="1">
      <c r="A251" s="216"/>
      <c r="B251" s="217"/>
      <c r="C251" s="218"/>
      <c r="D251" s="219"/>
      <c r="E251" s="220"/>
      <c r="F251" s="221"/>
      <c r="G251" s="222"/>
    </row>
    <row r="252" spans="1:7" s="112" customFormat="1">
      <c r="A252" s="216"/>
      <c r="B252" s="217"/>
      <c r="C252" s="218"/>
      <c r="D252" s="219"/>
      <c r="E252" s="220"/>
      <c r="F252" s="221"/>
      <c r="G252" s="222"/>
    </row>
    <row r="253" spans="1:7" s="112" customFormat="1">
      <c r="A253" s="216"/>
      <c r="B253" s="217"/>
      <c r="C253" s="218"/>
      <c r="D253" s="219"/>
      <c r="E253" s="220"/>
      <c r="F253" s="221"/>
      <c r="G253" s="222"/>
    </row>
    <row r="254" spans="1:7" s="112" customFormat="1">
      <c r="A254" s="216"/>
      <c r="B254" s="217"/>
      <c r="C254" s="218"/>
      <c r="D254" s="219"/>
      <c r="E254" s="220"/>
      <c r="F254" s="221"/>
      <c r="G254" s="222"/>
    </row>
    <row r="255" spans="1:7" s="112" customFormat="1">
      <c r="A255" s="216"/>
      <c r="B255" s="217"/>
      <c r="C255" s="218"/>
      <c r="D255" s="219"/>
      <c r="E255" s="220"/>
      <c r="F255" s="221"/>
      <c r="G255" s="222"/>
    </row>
    <row r="256" spans="1:7" s="112" customFormat="1">
      <c r="A256" s="216"/>
      <c r="B256" s="217"/>
      <c r="C256" s="218"/>
      <c r="D256" s="219"/>
      <c r="E256" s="220"/>
      <c r="F256" s="221"/>
      <c r="G256" s="222"/>
    </row>
    <row r="257" spans="1:7" s="112" customFormat="1">
      <c r="A257" s="216"/>
      <c r="B257" s="217"/>
      <c r="C257" s="218"/>
      <c r="D257" s="219"/>
      <c r="E257" s="220"/>
      <c r="F257" s="221"/>
      <c r="G257" s="222"/>
    </row>
    <row r="258" spans="1:7" s="112" customFormat="1">
      <c r="A258" s="216"/>
      <c r="B258" s="217"/>
      <c r="C258" s="218"/>
      <c r="D258" s="219"/>
      <c r="E258" s="220"/>
      <c r="F258" s="221"/>
      <c r="G258" s="222"/>
    </row>
    <row r="259" spans="1:7" s="112" customFormat="1">
      <c r="A259" s="216"/>
      <c r="B259" s="217"/>
      <c r="C259" s="218"/>
      <c r="D259" s="219"/>
      <c r="E259" s="220"/>
      <c r="F259" s="221"/>
      <c r="G259" s="222"/>
    </row>
    <row r="260" spans="1:7" s="112" customFormat="1">
      <c r="A260" s="216"/>
      <c r="B260" s="217"/>
      <c r="C260" s="218"/>
      <c r="D260" s="219"/>
      <c r="E260" s="220"/>
      <c r="F260" s="221"/>
      <c r="G260" s="222"/>
    </row>
    <row r="261" spans="1:7" s="112" customFormat="1">
      <c r="A261" s="216"/>
      <c r="B261" s="217"/>
      <c r="C261" s="218"/>
      <c r="D261" s="219"/>
      <c r="E261" s="220"/>
      <c r="F261" s="221"/>
      <c r="G261" s="222"/>
    </row>
    <row r="262" spans="1:7" s="112" customFormat="1">
      <c r="A262" s="216"/>
      <c r="B262" s="217"/>
      <c r="C262" s="218"/>
      <c r="D262" s="219"/>
      <c r="E262" s="220"/>
      <c r="F262" s="221"/>
      <c r="G262" s="222"/>
    </row>
    <row r="263" spans="1:7" s="112" customFormat="1">
      <c r="A263" s="216"/>
      <c r="B263" s="217"/>
      <c r="C263" s="218"/>
      <c r="D263" s="219"/>
      <c r="E263" s="220"/>
      <c r="F263" s="221"/>
      <c r="G263" s="222"/>
    </row>
    <row r="264" spans="1:7" s="112" customFormat="1">
      <c r="A264" s="216"/>
      <c r="B264" s="217"/>
      <c r="C264" s="218"/>
      <c r="D264" s="219"/>
      <c r="E264" s="220"/>
      <c r="F264" s="221"/>
      <c r="G264" s="222"/>
    </row>
    <row r="265" spans="1:7" s="112" customFormat="1">
      <c r="A265" s="216"/>
      <c r="B265" s="217"/>
      <c r="C265" s="218"/>
      <c r="D265" s="219"/>
      <c r="E265" s="220"/>
      <c r="F265" s="221"/>
      <c r="G265" s="222"/>
    </row>
    <row r="266" spans="1:7" s="112" customFormat="1">
      <c r="A266" s="216"/>
      <c r="B266" s="217"/>
      <c r="C266" s="218"/>
      <c r="D266" s="219"/>
      <c r="E266" s="220"/>
      <c r="F266" s="221"/>
      <c r="G266" s="222"/>
    </row>
    <row r="267" spans="1:7" s="112" customFormat="1">
      <c r="A267" s="216"/>
      <c r="B267" s="217"/>
      <c r="C267" s="218"/>
      <c r="D267" s="219"/>
      <c r="E267" s="220"/>
      <c r="F267" s="221"/>
      <c r="G267" s="222"/>
    </row>
    <row r="268" spans="1:7" s="112" customFormat="1">
      <c r="A268" s="216"/>
      <c r="B268" s="217"/>
      <c r="C268" s="218"/>
      <c r="D268" s="219"/>
      <c r="E268" s="220"/>
      <c r="F268" s="221"/>
      <c r="G268" s="222"/>
    </row>
    <row r="269" spans="1:7" s="112" customFormat="1">
      <c r="A269" s="216"/>
      <c r="B269" s="217"/>
      <c r="C269" s="218"/>
      <c r="D269" s="219"/>
      <c r="E269" s="220"/>
      <c r="F269" s="221"/>
      <c r="G269" s="222"/>
    </row>
    <row r="270" spans="1:7" s="112" customFormat="1">
      <c r="A270" s="216"/>
      <c r="B270" s="217"/>
      <c r="C270" s="218"/>
      <c r="D270" s="219"/>
      <c r="E270" s="220"/>
      <c r="F270" s="221"/>
      <c r="G270" s="222"/>
    </row>
    <row r="271" spans="1:7" s="112" customFormat="1">
      <c r="A271" s="216"/>
      <c r="B271" s="217"/>
      <c r="C271" s="218"/>
      <c r="D271" s="219"/>
      <c r="E271" s="220"/>
      <c r="F271" s="221"/>
      <c r="G271" s="222"/>
    </row>
    <row r="272" spans="1:7" s="112" customFormat="1">
      <c r="A272" s="216"/>
      <c r="B272" s="217"/>
      <c r="C272" s="218"/>
      <c r="D272" s="219"/>
      <c r="E272" s="220"/>
      <c r="F272" s="221"/>
      <c r="G272" s="222"/>
    </row>
    <row r="273" spans="1:7" s="112" customFormat="1">
      <c r="A273" s="216"/>
      <c r="B273" s="217"/>
      <c r="C273" s="218"/>
      <c r="D273" s="219"/>
      <c r="E273" s="220"/>
      <c r="F273" s="221"/>
      <c r="G273" s="222"/>
    </row>
    <row r="274" spans="1:7" s="112" customFormat="1">
      <c r="A274" s="216"/>
      <c r="B274" s="217"/>
      <c r="C274" s="218"/>
      <c r="D274" s="219"/>
      <c r="E274" s="220"/>
      <c r="F274" s="221"/>
      <c r="G274" s="222"/>
    </row>
    <row r="275" spans="1:7" s="112" customFormat="1">
      <c r="A275" s="216"/>
      <c r="B275" s="217"/>
      <c r="C275" s="218"/>
      <c r="D275" s="219"/>
      <c r="E275" s="220"/>
      <c r="F275" s="221"/>
      <c r="G275" s="222"/>
    </row>
    <row r="276" spans="1:7" s="112" customFormat="1">
      <c r="A276" s="216"/>
      <c r="B276" s="217"/>
      <c r="C276" s="218"/>
      <c r="D276" s="219"/>
      <c r="E276" s="220"/>
      <c r="F276" s="221"/>
      <c r="G276" s="222"/>
    </row>
    <row r="277" spans="1:7" s="112" customFormat="1">
      <c r="A277" s="216"/>
      <c r="B277" s="217"/>
      <c r="C277" s="218"/>
      <c r="D277" s="219"/>
      <c r="E277" s="220"/>
      <c r="F277" s="221"/>
      <c r="G277" s="222"/>
    </row>
    <row r="278" spans="1:7" s="112" customFormat="1">
      <c r="A278" s="216"/>
      <c r="B278" s="217"/>
      <c r="C278" s="218"/>
      <c r="D278" s="219"/>
      <c r="E278" s="220"/>
      <c r="F278" s="221"/>
      <c r="G278" s="222"/>
    </row>
    <row r="279" spans="1:7" s="112" customFormat="1">
      <c r="A279" s="216"/>
      <c r="B279" s="217"/>
      <c r="C279" s="218"/>
      <c r="D279" s="219"/>
      <c r="E279" s="220"/>
      <c r="F279" s="221"/>
      <c r="G279" s="222"/>
    </row>
    <row r="280" spans="1:7" s="112" customFormat="1">
      <c r="A280" s="216"/>
      <c r="B280" s="217"/>
      <c r="C280" s="218"/>
      <c r="D280" s="219"/>
      <c r="E280" s="220"/>
      <c r="F280" s="221"/>
      <c r="G280" s="222"/>
    </row>
    <row r="281" spans="1:7" s="112" customFormat="1">
      <c r="A281" s="216"/>
      <c r="B281" s="217"/>
      <c r="C281" s="218"/>
      <c r="D281" s="219"/>
      <c r="E281" s="220"/>
      <c r="F281" s="221"/>
      <c r="G281" s="222"/>
    </row>
    <row r="282" spans="1:7" s="112" customFormat="1">
      <c r="A282" s="216"/>
      <c r="B282" s="217"/>
      <c r="C282" s="218"/>
      <c r="D282" s="219"/>
      <c r="E282" s="220"/>
      <c r="F282" s="221"/>
      <c r="G282" s="222"/>
    </row>
    <row r="283" spans="1:7" s="112" customFormat="1">
      <c r="A283" s="216"/>
      <c r="B283" s="217"/>
      <c r="C283" s="218"/>
      <c r="D283" s="219"/>
      <c r="E283" s="220"/>
      <c r="F283" s="221"/>
      <c r="G283" s="222"/>
    </row>
    <row r="284" spans="1:7" s="112" customFormat="1">
      <c r="A284" s="216"/>
      <c r="B284" s="217"/>
      <c r="C284" s="218"/>
      <c r="D284" s="219"/>
      <c r="E284" s="220"/>
      <c r="F284" s="221"/>
      <c r="G284" s="222"/>
    </row>
    <row r="285" spans="1:7" s="112" customFormat="1">
      <c r="A285" s="216"/>
      <c r="B285" s="217"/>
      <c r="C285" s="218"/>
      <c r="D285" s="219"/>
      <c r="E285" s="220"/>
      <c r="F285" s="221"/>
      <c r="G285" s="222"/>
    </row>
    <row r="286" spans="1:7" s="112" customFormat="1">
      <c r="A286" s="216"/>
      <c r="B286" s="217"/>
      <c r="C286" s="218"/>
      <c r="D286" s="219"/>
      <c r="E286" s="220"/>
      <c r="F286" s="221"/>
      <c r="G286" s="222"/>
    </row>
    <row r="287" spans="1:7" s="112" customFormat="1">
      <c r="A287" s="216"/>
      <c r="B287" s="217"/>
      <c r="C287" s="218"/>
      <c r="D287" s="219"/>
      <c r="E287" s="220"/>
      <c r="F287" s="221"/>
      <c r="G287" s="222"/>
    </row>
    <row r="288" spans="1:7" s="112" customFormat="1">
      <c r="A288" s="216"/>
      <c r="B288" s="217"/>
      <c r="C288" s="218"/>
      <c r="D288" s="219"/>
      <c r="E288" s="220"/>
      <c r="F288" s="221"/>
      <c r="G288" s="222"/>
    </row>
    <row r="289" spans="1:7" s="112" customFormat="1">
      <c r="A289" s="216"/>
      <c r="B289" s="217"/>
      <c r="C289" s="218"/>
      <c r="D289" s="219"/>
      <c r="E289" s="220"/>
      <c r="F289" s="221"/>
      <c r="G289" s="222"/>
    </row>
    <row r="290" spans="1:7" s="112" customFormat="1">
      <c r="A290" s="216"/>
      <c r="B290" s="217"/>
      <c r="C290" s="218"/>
      <c r="D290" s="219"/>
      <c r="E290" s="220"/>
      <c r="F290" s="221"/>
      <c r="G290" s="222"/>
    </row>
    <row r="291" spans="1:7" s="112" customFormat="1">
      <c r="A291" s="216"/>
      <c r="B291" s="217"/>
      <c r="C291" s="218"/>
      <c r="D291" s="219"/>
      <c r="E291" s="220"/>
      <c r="F291" s="221"/>
      <c r="G291" s="222"/>
    </row>
    <row r="292" spans="1:7" s="112" customFormat="1">
      <c r="A292" s="216"/>
      <c r="B292" s="217"/>
      <c r="C292" s="218"/>
      <c r="D292" s="219"/>
      <c r="E292" s="220"/>
      <c r="F292" s="221"/>
      <c r="G292" s="222"/>
    </row>
    <row r="293" spans="1:7" s="112" customFormat="1">
      <c r="A293" s="216"/>
      <c r="B293" s="217"/>
      <c r="C293" s="218"/>
      <c r="D293" s="219"/>
      <c r="E293" s="220"/>
      <c r="F293" s="221"/>
      <c r="G293" s="222"/>
    </row>
    <row r="294" spans="1:7" s="112" customFormat="1">
      <c r="A294" s="216"/>
      <c r="B294" s="217"/>
      <c r="C294" s="218"/>
      <c r="D294" s="219"/>
      <c r="E294" s="220"/>
      <c r="F294" s="221"/>
      <c r="G294" s="222"/>
    </row>
    <row r="295" spans="1:7" s="112" customFormat="1">
      <c r="A295" s="216"/>
      <c r="B295" s="217"/>
      <c r="C295" s="218"/>
      <c r="D295" s="219"/>
      <c r="E295" s="220"/>
      <c r="F295" s="221"/>
      <c r="G295" s="222"/>
    </row>
    <row r="296" spans="1:7" s="112" customFormat="1">
      <c r="A296" s="216"/>
      <c r="B296" s="217"/>
      <c r="C296" s="218"/>
      <c r="D296" s="219"/>
      <c r="E296" s="220"/>
      <c r="F296" s="221"/>
      <c r="G296" s="222"/>
    </row>
    <row r="297" spans="1:7" s="112" customFormat="1">
      <c r="A297" s="216"/>
      <c r="B297" s="217"/>
      <c r="C297" s="218"/>
      <c r="D297" s="219"/>
      <c r="E297" s="220"/>
      <c r="F297" s="221"/>
      <c r="G297" s="222"/>
    </row>
    <row r="298" spans="1:7" s="112" customFormat="1">
      <c r="A298" s="216"/>
      <c r="B298" s="217"/>
      <c r="C298" s="218"/>
      <c r="D298" s="219"/>
      <c r="E298" s="220"/>
      <c r="F298" s="221"/>
      <c r="G298" s="222"/>
    </row>
    <row r="299" spans="1:7" s="112" customFormat="1">
      <c r="A299" s="216"/>
      <c r="B299" s="217"/>
      <c r="C299" s="218"/>
      <c r="D299" s="219"/>
      <c r="E299" s="220"/>
      <c r="F299" s="221"/>
      <c r="G299" s="222"/>
    </row>
    <row r="300" spans="1:7" s="112" customFormat="1">
      <c r="A300" s="216"/>
      <c r="B300" s="217"/>
      <c r="C300" s="218"/>
      <c r="D300" s="219"/>
      <c r="E300" s="220"/>
      <c r="F300" s="221"/>
      <c r="G300" s="222"/>
    </row>
    <row r="301" spans="1:7" s="112" customFormat="1">
      <c r="A301" s="216"/>
      <c r="B301" s="217"/>
      <c r="C301" s="218"/>
      <c r="D301" s="219"/>
      <c r="E301" s="220"/>
      <c r="F301" s="221"/>
      <c r="G301" s="222"/>
    </row>
    <row r="302" spans="1:7" s="112" customFormat="1">
      <c r="A302" s="216"/>
      <c r="B302" s="217"/>
      <c r="C302" s="218"/>
      <c r="D302" s="219"/>
      <c r="E302" s="220"/>
      <c r="F302" s="221"/>
      <c r="G302" s="222"/>
    </row>
    <row r="303" spans="1:7" s="112" customFormat="1">
      <c r="A303" s="216"/>
      <c r="B303" s="217"/>
      <c r="C303" s="218"/>
      <c r="D303" s="219"/>
      <c r="E303" s="220"/>
      <c r="F303" s="221"/>
      <c r="G303" s="222"/>
    </row>
    <row r="304" spans="1:7" s="112" customFormat="1">
      <c r="A304" s="216"/>
      <c r="B304" s="217"/>
      <c r="C304" s="218"/>
      <c r="D304" s="219"/>
      <c r="E304" s="220"/>
      <c r="F304" s="221"/>
      <c r="G304" s="222"/>
    </row>
    <row r="305" spans="1:7" s="112" customFormat="1">
      <c r="A305" s="216"/>
      <c r="B305" s="217"/>
      <c r="C305" s="218"/>
      <c r="D305" s="219"/>
      <c r="E305" s="220"/>
      <c r="F305" s="221"/>
      <c r="G305" s="222"/>
    </row>
    <row r="306" spans="1:7" s="112" customFormat="1">
      <c r="A306" s="216"/>
      <c r="B306" s="217"/>
      <c r="C306" s="218"/>
      <c r="D306" s="219"/>
      <c r="E306" s="220"/>
      <c r="F306" s="221"/>
      <c r="G306" s="222"/>
    </row>
    <row r="307" spans="1:7" s="112" customFormat="1">
      <c r="A307" s="216"/>
      <c r="B307" s="217"/>
      <c r="C307" s="218"/>
      <c r="D307" s="219"/>
      <c r="E307" s="220"/>
      <c r="F307" s="221"/>
      <c r="G307" s="222"/>
    </row>
    <row r="308" spans="1:7" s="112" customFormat="1">
      <c r="A308" s="216"/>
      <c r="B308" s="217"/>
      <c r="C308" s="218"/>
      <c r="D308" s="219"/>
      <c r="E308" s="220"/>
      <c r="F308" s="221"/>
      <c r="G308" s="222"/>
    </row>
    <row r="309" spans="1:7" s="112" customFormat="1">
      <c r="A309" s="216"/>
      <c r="B309" s="217"/>
      <c r="C309" s="218"/>
      <c r="D309" s="219"/>
      <c r="E309" s="220"/>
      <c r="F309" s="221"/>
      <c r="G309" s="222"/>
    </row>
    <row r="310" spans="1:7" s="112" customFormat="1">
      <c r="A310" s="216"/>
      <c r="B310" s="217"/>
      <c r="C310" s="218"/>
      <c r="D310" s="219"/>
      <c r="E310" s="220"/>
      <c r="F310" s="221"/>
      <c r="G310" s="222"/>
    </row>
    <row r="311" spans="1:7" s="112" customFormat="1">
      <c r="A311" s="216"/>
      <c r="B311" s="217"/>
      <c r="C311" s="218"/>
      <c r="D311" s="219"/>
      <c r="E311" s="220"/>
      <c r="F311" s="221"/>
      <c r="G311" s="222"/>
    </row>
    <row r="312" spans="1:7" s="112" customFormat="1">
      <c r="A312" s="216"/>
      <c r="B312" s="217"/>
      <c r="C312" s="218"/>
      <c r="D312" s="219"/>
      <c r="E312" s="220"/>
      <c r="F312" s="221"/>
      <c r="G312" s="222"/>
    </row>
    <row r="313" spans="1:7" s="112" customFormat="1">
      <c r="A313" s="216"/>
      <c r="B313" s="217"/>
      <c r="C313" s="218"/>
      <c r="D313" s="219"/>
      <c r="E313" s="220"/>
      <c r="F313" s="221"/>
      <c r="G313" s="222"/>
    </row>
    <row r="314" spans="1:7" s="112" customFormat="1">
      <c r="A314" s="216"/>
      <c r="B314" s="217"/>
      <c r="C314" s="218"/>
      <c r="D314" s="219"/>
      <c r="E314" s="220"/>
      <c r="F314" s="221"/>
      <c r="G314" s="222"/>
    </row>
    <row r="315" spans="1:7" s="112" customFormat="1">
      <c r="A315" s="216"/>
      <c r="B315" s="217"/>
      <c r="C315" s="218"/>
      <c r="D315" s="219"/>
      <c r="E315" s="220"/>
      <c r="F315" s="221"/>
      <c r="G315" s="222"/>
    </row>
    <row r="316" spans="1:7" s="112" customFormat="1">
      <c r="A316" s="216"/>
      <c r="B316" s="217"/>
      <c r="C316" s="218"/>
      <c r="D316" s="219"/>
      <c r="E316" s="220"/>
      <c r="F316" s="221"/>
      <c r="G316" s="222"/>
    </row>
    <row r="317" spans="1:7" s="112" customFormat="1">
      <c r="A317" s="216"/>
      <c r="B317" s="217"/>
      <c r="C317" s="218"/>
      <c r="D317" s="219"/>
      <c r="E317" s="220"/>
      <c r="F317" s="221"/>
      <c r="G317" s="222"/>
    </row>
    <row r="318" spans="1:7" s="112" customFormat="1">
      <c r="A318" s="216"/>
      <c r="B318" s="217"/>
      <c r="C318" s="218"/>
      <c r="D318" s="219"/>
      <c r="E318" s="220"/>
      <c r="F318" s="221"/>
      <c r="G318" s="222"/>
    </row>
    <row r="319" spans="1:7" s="112" customFormat="1">
      <c r="A319" s="216"/>
      <c r="B319" s="217"/>
      <c r="C319" s="218"/>
      <c r="D319" s="219"/>
      <c r="E319" s="220"/>
      <c r="F319" s="221"/>
      <c r="G319" s="222"/>
    </row>
    <row r="320" spans="1:7" s="112" customFormat="1">
      <c r="A320" s="216"/>
      <c r="B320" s="217"/>
      <c r="C320" s="218"/>
      <c r="D320" s="219"/>
      <c r="E320" s="220"/>
      <c r="F320" s="221"/>
      <c r="G320" s="222"/>
    </row>
    <row r="321" spans="1:7" s="112" customFormat="1">
      <c r="A321" s="216"/>
      <c r="B321" s="217"/>
      <c r="C321" s="218"/>
      <c r="D321" s="219"/>
      <c r="E321" s="220"/>
      <c r="F321" s="221"/>
      <c r="G321" s="222"/>
    </row>
    <row r="322" spans="1:7" s="112" customFormat="1">
      <c r="A322" s="216"/>
      <c r="B322" s="217"/>
      <c r="C322" s="218"/>
      <c r="D322" s="219"/>
      <c r="E322" s="220"/>
      <c r="F322" s="221"/>
      <c r="G322" s="222"/>
    </row>
    <row r="323" spans="1:7" s="112" customFormat="1">
      <c r="A323" s="216"/>
      <c r="B323" s="217"/>
      <c r="C323" s="218"/>
      <c r="D323" s="219"/>
      <c r="E323" s="220"/>
      <c r="F323" s="221"/>
      <c r="G323" s="222"/>
    </row>
    <row r="324" spans="1:7" s="112" customFormat="1">
      <c r="A324" s="216"/>
      <c r="B324" s="217"/>
      <c r="C324" s="218"/>
      <c r="D324" s="219"/>
      <c r="E324" s="220"/>
      <c r="F324" s="221"/>
      <c r="G324" s="222"/>
    </row>
    <row r="325" spans="1:7" s="112" customFormat="1">
      <c r="A325" s="216"/>
      <c r="B325" s="217"/>
      <c r="C325" s="218"/>
      <c r="D325" s="219"/>
      <c r="E325" s="220"/>
      <c r="F325" s="221"/>
      <c r="G325" s="222"/>
    </row>
    <row r="326" spans="1:7" s="112" customFormat="1">
      <c r="A326" s="216"/>
      <c r="B326" s="217"/>
      <c r="C326" s="218"/>
      <c r="D326" s="219"/>
      <c r="E326" s="220"/>
      <c r="F326" s="221"/>
      <c r="G326" s="222"/>
    </row>
    <row r="327" spans="1:7" s="112" customFormat="1">
      <c r="A327" s="216"/>
      <c r="B327" s="217"/>
      <c r="C327" s="218"/>
      <c r="D327" s="219"/>
      <c r="E327" s="220"/>
      <c r="F327" s="221"/>
      <c r="G327" s="222"/>
    </row>
    <row r="328" spans="1:7" s="112" customFormat="1">
      <c r="A328" s="216"/>
      <c r="B328" s="217"/>
      <c r="C328" s="218"/>
      <c r="D328" s="219"/>
      <c r="E328" s="220"/>
      <c r="F328" s="221"/>
      <c r="G328" s="222"/>
    </row>
    <row r="329" spans="1:7" s="112" customFormat="1">
      <c r="A329" s="216"/>
      <c r="B329" s="217"/>
      <c r="C329" s="218"/>
      <c r="D329" s="219"/>
      <c r="E329" s="220"/>
      <c r="F329" s="221"/>
      <c r="G329" s="222"/>
    </row>
    <row r="330" spans="1:7" s="112" customFormat="1">
      <c r="A330" s="216"/>
      <c r="B330" s="217"/>
      <c r="C330" s="218"/>
      <c r="D330" s="219"/>
      <c r="E330" s="220"/>
      <c r="F330" s="221"/>
      <c r="G330" s="222"/>
    </row>
    <row r="331" spans="1:7" s="112" customFormat="1">
      <c r="A331" s="216"/>
      <c r="B331" s="217"/>
      <c r="C331" s="218"/>
      <c r="D331" s="219"/>
      <c r="E331" s="220"/>
      <c r="F331" s="221"/>
      <c r="G331" s="222"/>
    </row>
    <row r="332" spans="1:7" s="112" customFormat="1">
      <c r="A332" s="216"/>
      <c r="B332" s="217"/>
      <c r="C332" s="218"/>
      <c r="D332" s="219"/>
      <c r="E332" s="220"/>
      <c r="F332" s="221"/>
      <c r="G332" s="222"/>
    </row>
    <row r="333" spans="1:7" s="112" customFormat="1">
      <c r="A333" s="216"/>
      <c r="B333" s="217"/>
      <c r="C333" s="218"/>
      <c r="D333" s="219"/>
      <c r="E333" s="220"/>
      <c r="F333" s="221"/>
      <c r="G333" s="222"/>
    </row>
    <row r="334" spans="1:7" s="112" customFormat="1">
      <c r="A334" s="216"/>
      <c r="B334" s="217"/>
      <c r="C334" s="218"/>
      <c r="D334" s="219"/>
      <c r="E334" s="220"/>
      <c r="F334" s="221"/>
      <c r="G334" s="222"/>
    </row>
    <row r="335" spans="1:7" s="112" customFormat="1">
      <c r="A335" s="216"/>
      <c r="B335" s="217"/>
      <c r="C335" s="218"/>
      <c r="D335" s="219"/>
      <c r="E335" s="220"/>
      <c r="F335" s="221"/>
      <c r="G335" s="222"/>
    </row>
    <row r="336" spans="1:7" s="112" customFormat="1">
      <c r="A336" s="216"/>
      <c r="B336" s="217"/>
      <c r="C336" s="218"/>
      <c r="D336" s="219"/>
      <c r="E336" s="220"/>
      <c r="F336" s="221"/>
      <c r="G336" s="222"/>
    </row>
    <row r="337" spans="1:7" s="112" customFormat="1">
      <c r="A337" s="216"/>
      <c r="B337" s="217"/>
      <c r="C337" s="218"/>
      <c r="D337" s="219"/>
      <c r="E337" s="220"/>
      <c r="F337" s="221"/>
      <c r="G337" s="222"/>
    </row>
    <row r="338" spans="1:7" s="112" customFormat="1">
      <c r="A338" s="216"/>
      <c r="B338" s="217"/>
      <c r="C338" s="218"/>
      <c r="D338" s="219"/>
      <c r="E338" s="220"/>
      <c r="F338" s="221"/>
      <c r="G338" s="222"/>
    </row>
    <row r="339" spans="1:7" s="112" customFormat="1">
      <c r="A339" s="216"/>
      <c r="B339" s="217"/>
      <c r="C339" s="218"/>
      <c r="D339" s="219"/>
      <c r="E339" s="220"/>
      <c r="F339" s="221"/>
      <c r="G339" s="222"/>
    </row>
    <row r="340" spans="1:7" s="112" customFormat="1">
      <c r="A340" s="216"/>
      <c r="B340" s="217"/>
      <c r="C340" s="218"/>
      <c r="D340" s="219"/>
      <c r="E340" s="220"/>
      <c r="F340" s="221"/>
      <c r="G340" s="222"/>
    </row>
    <row r="341" spans="1:7" s="112" customFormat="1">
      <c r="A341" s="216"/>
      <c r="B341" s="217"/>
      <c r="C341" s="218"/>
      <c r="D341" s="219"/>
      <c r="E341" s="220"/>
      <c r="F341" s="221"/>
      <c r="G341" s="222"/>
    </row>
    <row r="342" spans="1:7" s="112" customFormat="1">
      <c r="A342" s="216"/>
      <c r="B342" s="217"/>
      <c r="C342" s="218"/>
      <c r="D342" s="219"/>
      <c r="E342" s="220"/>
      <c r="F342" s="221"/>
      <c r="G342" s="222"/>
    </row>
    <row r="343" spans="1:7" s="112" customFormat="1">
      <c r="A343" s="216"/>
      <c r="B343" s="217"/>
      <c r="C343" s="218"/>
      <c r="D343" s="219"/>
      <c r="E343" s="220"/>
      <c r="F343" s="221"/>
      <c r="G343" s="222"/>
    </row>
    <row r="344" spans="1:7" s="112" customFormat="1">
      <c r="A344" s="216"/>
      <c r="B344" s="217"/>
      <c r="C344" s="218"/>
      <c r="D344" s="219"/>
      <c r="E344" s="220"/>
      <c r="F344" s="221"/>
      <c r="G344" s="222"/>
    </row>
    <row r="345" spans="1:7" s="112" customFormat="1">
      <c r="A345" s="216"/>
      <c r="B345" s="217"/>
      <c r="C345" s="218"/>
      <c r="D345" s="219"/>
      <c r="E345" s="220"/>
      <c r="F345" s="221"/>
      <c r="G345" s="222"/>
    </row>
    <row r="346" spans="1:7" s="112" customFormat="1">
      <c r="A346" s="216"/>
      <c r="B346" s="217"/>
      <c r="C346" s="218"/>
      <c r="D346" s="219"/>
      <c r="E346" s="220"/>
      <c r="F346" s="221"/>
      <c r="G346" s="222"/>
    </row>
    <row r="347" spans="1:7" s="112" customFormat="1">
      <c r="A347" s="216"/>
      <c r="B347" s="217"/>
      <c r="C347" s="218"/>
      <c r="D347" s="219"/>
      <c r="E347" s="220"/>
      <c r="F347" s="221"/>
      <c r="G347" s="222"/>
    </row>
    <row r="348" spans="1:7" s="112" customFormat="1">
      <c r="A348" s="216"/>
      <c r="B348" s="217"/>
      <c r="C348" s="218"/>
      <c r="D348" s="219"/>
      <c r="E348" s="220"/>
      <c r="F348" s="221"/>
      <c r="G348" s="222"/>
    </row>
    <row r="349" spans="1:7" s="112" customFormat="1">
      <c r="A349" s="216"/>
      <c r="B349" s="217"/>
      <c r="C349" s="218"/>
      <c r="D349" s="219"/>
      <c r="E349" s="220"/>
      <c r="F349" s="221"/>
      <c r="G349" s="222"/>
    </row>
    <row r="350" spans="1:7" s="112" customFormat="1">
      <c r="A350" s="216"/>
      <c r="B350" s="217"/>
      <c r="C350" s="218"/>
      <c r="D350" s="219"/>
      <c r="E350" s="220"/>
      <c r="F350" s="221"/>
      <c r="G350" s="222"/>
    </row>
    <row r="351" spans="1:7" s="112" customFormat="1">
      <c r="A351" s="216"/>
      <c r="B351" s="217"/>
      <c r="C351" s="218"/>
      <c r="D351" s="219"/>
      <c r="E351" s="220"/>
      <c r="F351" s="221"/>
      <c r="G351" s="222"/>
    </row>
    <row r="352" spans="1:7" s="112" customFormat="1">
      <c r="A352" s="216"/>
      <c r="B352" s="217"/>
      <c r="C352" s="218"/>
      <c r="D352" s="219"/>
      <c r="E352" s="220"/>
      <c r="F352" s="221"/>
      <c r="G352" s="222"/>
    </row>
    <row r="353" spans="1:7" s="112" customFormat="1">
      <c r="A353" s="216"/>
      <c r="B353" s="217"/>
      <c r="C353" s="218"/>
      <c r="D353" s="219"/>
      <c r="E353" s="220"/>
      <c r="F353" s="221"/>
      <c r="G353" s="222"/>
    </row>
    <row r="354" spans="1:7" s="112" customFormat="1">
      <c r="A354" s="216"/>
      <c r="B354" s="217"/>
      <c r="C354" s="218"/>
      <c r="D354" s="219"/>
      <c r="E354" s="220"/>
      <c r="F354" s="221"/>
      <c r="G354" s="222"/>
    </row>
    <row r="355" spans="1:7" s="112" customFormat="1">
      <c r="A355" s="216"/>
      <c r="B355" s="217"/>
      <c r="C355" s="218"/>
      <c r="D355" s="219"/>
      <c r="E355" s="220"/>
      <c r="F355" s="221"/>
      <c r="G355" s="222"/>
    </row>
    <row r="356" spans="1:7" s="112" customFormat="1">
      <c r="A356" s="216"/>
      <c r="B356" s="217"/>
      <c r="C356" s="218"/>
      <c r="D356" s="219"/>
      <c r="E356" s="220"/>
      <c r="F356" s="221"/>
      <c r="G356" s="222"/>
    </row>
    <row r="357" spans="1:7" s="112" customFormat="1">
      <c r="A357" s="216"/>
      <c r="B357" s="217"/>
      <c r="C357" s="218"/>
      <c r="D357" s="219"/>
      <c r="E357" s="220"/>
      <c r="F357" s="221"/>
      <c r="G357" s="222"/>
    </row>
    <row r="358" spans="1:7" s="112" customFormat="1">
      <c r="A358" s="216"/>
      <c r="B358" s="217"/>
      <c r="C358" s="218"/>
      <c r="D358" s="219"/>
      <c r="E358" s="220"/>
      <c r="F358" s="221"/>
      <c r="G358" s="222"/>
    </row>
    <row r="359" spans="1:7" s="112" customFormat="1">
      <c r="A359" s="216"/>
      <c r="B359" s="217"/>
      <c r="C359" s="218"/>
      <c r="D359" s="219"/>
      <c r="E359" s="220"/>
      <c r="F359" s="221"/>
      <c r="G359" s="222"/>
    </row>
    <row r="360" spans="1:7" s="112" customFormat="1">
      <c r="A360" s="216"/>
      <c r="B360" s="217"/>
      <c r="C360" s="218"/>
      <c r="D360" s="219"/>
      <c r="E360" s="220"/>
      <c r="F360" s="221"/>
      <c r="G360" s="222"/>
    </row>
    <row r="361" spans="1:7" s="112" customFormat="1">
      <c r="A361" s="216"/>
      <c r="B361" s="217"/>
      <c r="C361" s="218"/>
      <c r="D361" s="219"/>
      <c r="E361" s="220"/>
      <c r="F361" s="221"/>
      <c r="G361" s="222"/>
    </row>
    <row r="362" spans="1:7" s="112" customFormat="1">
      <c r="A362" s="216"/>
      <c r="B362" s="217"/>
      <c r="C362" s="218"/>
      <c r="D362" s="219"/>
      <c r="E362" s="220"/>
      <c r="F362" s="221"/>
      <c r="G362" s="222"/>
    </row>
    <row r="363" spans="1:7" s="112" customFormat="1">
      <c r="A363" s="216"/>
      <c r="B363" s="217"/>
      <c r="C363" s="218"/>
      <c r="D363" s="219"/>
      <c r="E363" s="220"/>
      <c r="F363" s="221"/>
      <c r="G363" s="222"/>
    </row>
    <row r="364" spans="1:7" s="112" customFormat="1">
      <c r="A364" s="216"/>
      <c r="B364" s="217"/>
      <c r="C364" s="218"/>
      <c r="D364" s="219"/>
      <c r="E364" s="220"/>
      <c r="F364" s="221"/>
      <c r="G364" s="222"/>
    </row>
    <row r="365" spans="1:7" s="112" customFormat="1">
      <c r="A365" s="216"/>
      <c r="B365" s="217"/>
      <c r="C365" s="218"/>
      <c r="D365" s="219"/>
      <c r="E365" s="220"/>
      <c r="F365" s="221"/>
      <c r="G365" s="222"/>
    </row>
    <row r="366" spans="1:7" s="112" customFormat="1">
      <c r="A366" s="216"/>
      <c r="B366" s="217"/>
      <c r="C366" s="218"/>
      <c r="D366" s="219"/>
      <c r="E366" s="220"/>
      <c r="F366" s="221"/>
      <c r="G366" s="222"/>
    </row>
    <row r="367" spans="1:7" s="112" customFormat="1">
      <c r="A367" s="216"/>
      <c r="B367" s="217"/>
      <c r="C367" s="218"/>
      <c r="D367" s="219"/>
      <c r="E367" s="220"/>
      <c r="F367" s="221"/>
      <c r="G367" s="222"/>
    </row>
    <row r="368" spans="1:7" s="112" customFormat="1">
      <c r="A368" s="216"/>
      <c r="B368" s="217"/>
      <c r="C368" s="218"/>
      <c r="D368" s="219"/>
      <c r="E368" s="220"/>
      <c r="F368" s="221"/>
      <c r="G368" s="222"/>
    </row>
    <row r="369" spans="1:7" s="112" customFormat="1">
      <c r="A369" s="216"/>
      <c r="B369" s="217"/>
      <c r="C369" s="218"/>
      <c r="D369" s="219"/>
      <c r="E369" s="220"/>
      <c r="F369" s="221"/>
      <c r="G369" s="222"/>
    </row>
    <row r="370" spans="1:7" s="112" customFormat="1">
      <c r="A370" s="216"/>
      <c r="B370" s="217"/>
      <c r="C370" s="218"/>
      <c r="D370" s="219"/>
      <c r="E370" s="220"/>
      <c r="F370" s="221"/>
      <c r="G370" s="222"/>
    </row>
    <row r="371" spans="1:7" s="112" customFormat="1">
      <c r="A371" s="216"/>
      <c r="B371" s="217"/>
      <c r="C371" s="218"/>
      <c r="D371" s="219"/>
      <c r="E371" s="220"/>
      <c r="F371" s="221"/>
      <c r="G371" s="222"/>
    </row>
    <row r="372" spans="1:7" s="112" customFormat="1">
      <c r="A372" s="216"/>
      <c r="B372" s="217"/>
      <c r="C372" s="218"/>
      <c r="D372" s="219"/>
      <c r="E372" s="220"/>
      <c r="F372" s="221"/>
      <c r="G372" s="222"/>
    </row>
    <row r="373" spans="1:7" s="112" customFormat="1">
      <c r="A373" s="216"/>
      <c r="B373" s="217"/>
      <c r="C373" s="218"/>
      <c r="D373" s="219"/>
      <c r="E373" s="220"/>
      <c r="F373" s="221"/>
      <c r="G373" s="222"/>
    </row>
    <row r="374" spans="1:7" s="112" customFormat="1">
      <c r="A374" s="216"/>
      <c r="B374" s="217"/>
      <c r="C374" s="218"/>
      <c r="D374" s="219"/>
      <c r="E374" s="220"/>
      <c r="F374" s="221"/>
      <c r="G374" s="222"/>
    </row>
    <row r="375" spans="1:7" s="112" customFormat="1">
      <c r="A375" s="216"/>
      <c r="B375" s="217"/>
      <c r="C375" s="218"/>
      <c r="D375" s="219"/>
      <c r="E375" s="220"/>
      <c r="F375" s="221"/>
      <c r="G375" s="222"/>
    </row>
    <row r="376" spans="1:7" s="112" customFormat="1">
      <c r="A376" s="216"/>
      <c r="B376" s="217"/>
      <c r="C376" s="218"/>
      <c r="D376" s="219"/>
      <c r="E376" s="220"/>
      <c r="F376" s="221"/>
      <c r="G376" s="222"/>
    </row>
    <row r="377" spans="1:7" s="112" customFormat="1">
      <c r="A377" s="216"/>
      <c r="B377" s="217"/>
      <c r="C377" s="218"/>
      <c r="D377" s="219"/>
      <c r="E377" s="220"/>
      <c r="F377" s="221"/>
      <c r="G377" s="222"/>
    </row>
    <row r="378" spans="1:7" s="112" customFormat="1">
      <c r="A378" s="216"/>
      <c r="B378" s="217"/>
      <c r="C378" s="218"/>
      <c r="D378" s="219"/>
      <c r="E378" s="220"/>
      <c r="F378" s="221"/>
      <c r="G378" s="222"/>
    </row>
    <row r="379" spans="1:7" s="112" customFormat="1">
      <c r="A379" s="216"/>
      <c r="B379" s="217"/>
      <c r="C379" s="218"/>
      <c r="D379" s="219"/>
      <c r="E379" s="220"/>
      <c r="F379" s="221"/>
      <c r="G379" s="222"/>
    </row>
    <row r="380" spans="1:7" s="112" customFormat="1">
      <c r="A380" s="216"/>
      <c r="B380" s="217"/>
      <c r="C380" s="218"/>
      <c r="D380" s="219"/>
      <c r="E380" s="220"/>
      <c r="F380" s="221"/>
      <c r="G380" s="222"/>
    </row>
    <row r="381" spans="1:7" s="112" customFormat="1">
      <c r="A381" s="216"/>
      <c r="B381" s="217"/>
      <c r="C381" s="218"/>
      <c r="D381" s="219"/>
      <c r="E381" s="220"/>
      <c r="F381" s="221"/>
      <c r="G381" s="222"/>
    </row>
    <row r="382" spans="1:7" s="112" customFormat="1">
      <c r="A382" s="216"/>
      <c r="B382" s="217"/>
      <c r="C382" s="218"/>
      <c r="D382" s="219"/>
      <c r="E382" s="220"/>
      <c r="F382" s="221"/>
      <c r="G382" s="222"/>
    </row>
    <row r="383" spans="1:7" s="112" customFormat="1">
      <c r="A383" s="216"/>
      <c r="B383" s="217"/>
      <c r="C383" s="218"/>
      <c r="D383" s="219"/>
      <c r="E383" s="220"/>
      <c r="F383" s="221"/>
      <c r="G383" s="222"/>
    </row>
    <row r="384" spans="1:7" s="112" customFormat="1">
      <c r="A384" s="216"/>
      <c r="B384" s="217"/>
      <c r="C384" s="218"/>
      <c r="D384" s="219"/>
      <c r="E384" s="220"/>
      <c r="F384" s="221"/>
      <c r="G384" s="222"/>
    </row>
    <row r="385" spans="1:7" s="112" customFormat="1">
      <c r="A385" s="216"/>
      <c r="B385" s="217"/>
      <c r="C385" s="218"/>
      <c r="D385" s="219"/>
      <c r="E385" s="220"/>
      <c r="F385" s="221"/>
      <c r="G385" s="222"/>
    </row>
    <row r="386" spans="1:7" s="112" customFormat="1">
      <c r="A386" s="216"/>
      <c r="B386" s="217"/>
      <c r="C386" s="218"/>
      <c r="D386" s="219"/>
      <c r="E386" s="220"/>
      <c r="F386" s="221"/>
      <c r="G386" s="222"/>
    </row>
    <row r="387" spans="1:7" s="112" customFormat="1">
      <c r="A387" s="216"/>
      <c r="B387" s="217"/>
      <c r="C387" s="218"/>
      <c r="D387" s="219"/>
      <c r="E387" s="220"/>
      <c r="F387" s="221"/>
      <c r="G387" s="222"/>
    </row>
    <row r="388" spans="1:7" s="112" customFormat="1">
      <c r="A388" s="216"/>
      <c r="B388" s="217"/>
      <c r="C388" s="218"/>
      <c r="D388" s="219"/>
      <c r="E388" s="220"/>
      <c r="F388" s="221"/>
      <c r="G388" s="222"/>
    </row>
    <row r="389" spans="1:7" s="112" customFormat="1">
      <c r="A389" s="216"/>
      <c r="B389" s="217"/>
      <c r="C389" s="218"/>
      <c r="D389" s="219"/>
      <c r="E389" s="220"/>
      <c r="F389" s="221"/>
      <c r="G389" s="222"/>
    </row>
    <row r="390" spans="1:7" s="112" customFormat="1">
      <c r="A390" s="216"/>
      <c r="B390" s="217"/>
      <c r="C390" s="218"/>
      <c r="D390" s="219"/>
      <c r="E390" s="220"/>
      <c r="F390" s="221"/>
      <c r="G390" s="222"/>
    </row>
    <row r="391" spans="1:7" s="112" customFormat="1">
      <c r="A391" s="216"/>
      <c r="B391" s="217"/>
      <c r="C391" s="218"/>
      <c r="D391" s="219"/>
      <c r="E391" s="220"/>
      <c r="F391" s="221"/>
      <c r="G391" s="222"/>
    </row>
    <row r="392" spans="1:7" s="112" customFormat="1">
      <c r="A392" s="216"/>
      <c r="B392" s="217"/>
      <c r="C392" s="218"/>
      <c r="D392" s="219"/>
      <c r="E392" s="220"/>
      <c r="F392" s="221"/>
      <c r="G392" s="222"/>
    </row>
    <row r="393" spans="1:7" s="112" customFormat="1">
      <c r="A393" s="216"/>
      <c r="B393" s="217"/>
      <c r="C393" s="218"/>
      <c r="D393" s="219"/>
      <c r="E393" s="220"/>
      <c r="F393" s="221"/>
      <c r="G393" s="222"/>
    </row>
    <row r="394" spans="1:7" s="112" customFormat="1">
      <c r="A394" s="216"/>
      <c r="B394" s="217"/>
      <c r="C394" s="218"/>
      <c r="D394" s="219"/>
      <c r="E394" s="220"/>
      <c r="F394" s="221"/>
      <c r="G394" s="222"/>
    </row>
    <row r="395" spans="1:7" s="112" customFormat="1">
      <c r="A395" s="216"/>
      <c r="B395" s="217"/>
      <c r="C395" s="218"/>
      <c r="D395" s="219"/>
      <c r="E395" s="220"/>
      <c r="F395" s="221"/>
      <c r="G395" s="222"/>
    </row>
    <row r="396" spans="1:7" s="112" customFormat="1">
      <c r="A396" s="216"/>
      <c r="B396" s="217"/>
      <c r="C396" s="218"/>
      <c r="D396" s="219"/>
      <c r="E396" s="220"/>
      <c r="F396" s="221"/>
      <c r="G396" s="222"/>
    </row>
    <row r="397" spans="1:7" s="112" customFormat="1">
      <c r="A397" s="216"/>
      <c r="B397" s="217"/>
      <c r="C397" s="218"/>
      <c r="D397" s="219"/>
      <c r="E397" s="220"/>
      <c r="F397" s="221"/>
      <c r="G397" s="222"/>
    </row>
    <row r="398" spans="1:7" s="112" customFormat="1">
      <c r="A398" s="216"/>
      <c r="B398" s="217"/>
      <c r="C398" s="218"/>
      <c r="D398" s="219"/>
      <c r="E398" s="220"/>
      <c r="F398" s="221"/>
      <c r="G398" s="222"/>
    </row>
    <row r="399" spans="1:7" s="112" customFormat="1">
      <c r="A399" s="216"/>
      <c r="B399" s="217"/>
      <c r="C399" s="218"/>
      <c r="D399" s="219"/>
      <c r="E399" s="220"/>
      <c r="F399" s="221"/>
      <c r="G399" s="222"/>
    </row>
    <row r="400" spans="1:7" s="112" customFormat="1">
      <c r="A400" s="216"/>
      <c r="B400" s="217"/>
      <c r="C400" s="218"/>
      <c r="D400" s="219"/>
      <c r="E400" s="220"/>
      <c r="F400" s="221"/>
      <c r="G400" s="222"/>
    </row>
    <row r="401" spans="1:7" s="112" customFormat="1">
      <c r="A401" s="216"/>
      <c r="B401" s="217"/>
      <c r="C401" s="218"/>
      <c r="D401" s="219"/>
      <c r="E401" s="220"/>
      <c r="F401" s="221"/>
      <c r="G401" s="222"/>
    </row>
    <row r="402" spans="1:7" s="112" customFormat="1">
      <c r="A402" s="216"/>
      <c r="B402" s="217"/>
      <c r="C402" s="218"/>
      <c r="D402" s="219"/>
      <c r="E402" s="220"/>
      <c r="F402" s="221"/>
      <c r="G402" s="222"/>
    </row>
    <row r="403" spans="1:7" s="112" customFormat="1">
      <c r="A403" s="216"/>
      <c r="B403" s="217"/>
      <c r="C403" s="218"/>
      <c r="D403" s="219"/>
      <c r="E403" s="220"/>
      <c r="F403" s="221"/>
      <c r="G403" s="222"/>
    </row>
    <row r="404" spans="1:7" s="112" customFormat="1">
      <c r="A404" s="216"/>
      <c r="B404" s="217"/>
      <c r="C404" s="218"/>
      <c r="D404" s="219"/>
      <c r="E404" s="220"/>
      <c r="F404" s="221"/>
      <c r="G404" s="222"/>
    </row>
    <row r="405" spans="1:7" s="112" customFormat="1">
      <c r="A405" s="216"/>
      <c r="B405" s="217"/>
      <c r="C405" s="218"/>
      <c r="D405" s="219"/>
      <c r="E405" s="220"/>
      <c r="F405" s="221"/>
      <c r="G405" s="222"/>
    </row>
    <row r="406" spans="1:7" s="112" customFormat="1">
      <c r="A406" s="216"/>
      <c r="B406" s="217"/>
      <c r="C406" s="218"/>
      <c r="D406" s="219"/>
      <c r="E406" s="220"/>
      <c r="F406" s="221"/>
      <c r="G406" s="222"/>
    </row>
    <row r="407" spans="1:7" s="112" customFormat="1">
      <c r="A407" s="216"/>
      <c r="B407" s="217"/>
      <c r="C407" s="218"/>
      <c r="D407" s="219"/>
      <c r="E407" s="220"/>
      <c r="F407" s="221"/>
      <c r="G407" s="222"/>
    </row>
    <row r="408" spans="1:7" s="112" customFormat="1">
      <c r="A408" s="216"/>
      <c r="B408" s="217"/>
      <c r="C408" s="218"/>
      <c r="D408" s="219"/>
      <c r="E408" s="220"/>
      <c r="F408" s="221"/>
      <c r="G408" s="222"/>
    </row>
    <row r="409" spans="1:7" s="112" customFormat="1">
      <c r="A409" s="216"/>
      <c r="B409" s="217"/>
      <c r="C409" s="218"/>
      <c r="D409" s="219"/>
      <c r="E409" s="220"/>
      <c r="F409" s="221"/>
      <c r="G409" s="222"/>
    </row>
    <row r="410" spans="1:7" s="112" customFormat="1">
      <c r="A410" s="216"/>
      <c r="B410" s="217"/>
      <c r="C410" s="218"/>
      <c r="D410" s="219"/>
      <c r="E410" s="220"/>
      <c r="F410" s="221"/>
      <c r="G410" s="222"/>
    </row>
    <row r="411" spans="1:7" s="112" customFormat="1">
      <c r="A411" s="216"/>
      <c r="B411" s="217"/>
      <c r="C411" s="218"/>
      <c r="D411" s="219"/>
      <c r="E411" s="220"/>
      <c r="F411" s="221"/>
      <c r="G411" s="222"/>
    </row>
    <row r="412" spans="1:7" s="112" customFormat="1">
      <c r="A412" s="216"/>
      <c r="B412" s="217"/>
      <c r="C412" s="218"/>
      <c r="D412" s="219"/>
      <c r="E412" s="220"/>
      <c r="F412" s="221"/>
      <c r="G412" s="222"/>
    </row>
    <row r="413" spans="1:7" s="112" customFormat="1">
      <c r="A413" s="216"/>
      <c r="B413" s="217"/>
      <c r="C413" s="218"/>
      <c r="D413" s="219"/>
      <c r="E413" s="220"/>
      <c r="F413" s="221"/>
      <c r="G413" s="222"/>
    </row>
    <row r="414" spans="1:7" s="112" customFormat="1">
      <c r="A414" s="216"/>
      <c r="B414" s="217"/>
      <c r="C414" s="218"/>
      <c r="D414" s="219"/>
      <c r="E414" s="220"/>
      <c r="F414" s="221"/>
      <c r="G414" s="222"/>
    </row>
    <row r="415" spans="1:7" s="112" customFormat="1">
      <c r="A415" s="216"/>
      <c r="B415" s="217"/>
      <c r="C415" s="218"/>
      <c r="D415" s="219"/>
      <c r="E415" s="220"/>
      <c r="F415" s="221"/>
      <c r="G415" s="222"/>
    </row>
    <row r="416" spans="1:7" s="112" customFormat="1">
      <c r="A416" s="216"/>
      <c r="B416" s="217"/>
      <c r="C416" s="218"/>
      <c r="D416" s="219"/>
      <c r="E416" s="220"/>
      <c r="F416" s="221"/>
      <c r="G416" s="222"/>
    </row>
    <row r="417" spans="1:7" s="112" customFormat="1">
      <c r="A417" s="216"/>
      <c r="B417" s="217"/>
      <c r="C417" s="218"/>
      <c r="D417" s="219"/>
      <c r="E417" s="220"/>
      <c r="F417" s="221"/>
      <c r="G417" s="222"/>
    </row>
    <row r="418" spans="1:7" s="112" customFormat="1">
      <c r="A418" s="216"/>
      <c r="B418" s="217"/>
      <c r="C418" s="218"/>
      <c r="D418" s="219"/>
      <c r="E418" s="220"/>
      <c r="F418" s="221"/>
      <c r="G418" s="222"/>
    </row>
    <row r="419" spans="1:7" s="112" customFormat="1">
      <c r="A419" s="216"/>
      <c r="B419" s="217"/>
      <c r="C419" s="218"/>
      <c r="D419" s="219"/>
      <c r="E419" s="220"/>
      <c r="F419" s="221"/>
      <c r="G419" s="222"/>
    </row>
    <row r="420" spans="1:7" s="112" customFormat="1">
      <c r="A420" s="216"/>
      <c r="B420" s="217"/>
      <c r="C420" s="218"/>
      <c r="D420" s="219"/>
      <c r="E420" s="220"/>
      <c r="F420" s="221"/>
      <c r="G420" s="222"/>
    </row>
    <row r="421" spans="1:7" s="112" customFormat="1">
      <c r="A421" s="216"/>
      <c r="B421" s="217"/>
      <c r="C421" s="218"/>
      <c r="D421" s="219"/>
      <c r="E421" s="220"/>
      <c r="F421" s="221"/>
      <c r="G421" s="222"/>
    </row>
    <row r="422" spans="1:7" s="112" customFormat="1">
      <c r="A422" s="216"/>
      <c r="B422" s="217"/>
      <c r="C422" s="218"/>
      <c r="D422" s="219"/>
      <c r="E422" s="220"/>
      <c r="F422" s="221"/>
      <c r="G422" s="222"/>
    </row>
    <row r="423" spans="1:7" s="112" customFormat="1">
      <c r="A423" s="216"/>
      <c r="B423" s="217"/>
      <c r="C423" s="218"/>
      <c r="D423" s="219"/>
      <c r="E423" s="220"/>
      <c r="F423" s="221"/>
      <c r="G423" s="222"/>
    </row>
    <row r="424" spans="1:7" s="112" customFormat="1">
      <c r="A424" s="216"/>
      <c r="B424" s="217"/>
      <c r="C424" s="218"/>
      <c r="D424" s="219"/>
      <c r="E424" s="220"/>
      <c r="F424" s="221"/>
      <c r="G424" s="222"/>
    </row>
    <row r="425" spans="1:7" s="112" customFormat="1">
      <c r="A425" s="216"/>
      <c r="B425" s="217"/>
      <c r="C425" s="218"/>
      <c r="D425" s="219"/>
      <c r="E425" s="220"/>
      <c r="F425" s="221"/>
      <c r="G425" s="222"/>
    </row>
    <row r="426" spans="1:7" s="112" customFormat="1">
      <c r="A426" s="216"/>
      <c r="B426" s="217"/>
      <c r="C426" s="218"/>
      <c r="D426" s="219"/>
      <c r="E426" s="220"/>
      <c r="F426" s="221"/>
      <c r="G426" s="222"/>
    </row>
    <row r="427" spans="1:7" s="112" customFormat="1">
      <c r="A427" s="216"/>
      <c r="B427" s="217"/>
      <c r="C427" s="218"/>
      <c r="D427" s="219"/>
      <c r="E427" s="220"/>
      <c r="F427" s="221"/>
      <c r="G427" s="222"/>
    </row>
    <row r="428" spans="1:7" s="112" customFormat="1">
      <c r="A428" s="216"/>
      <c r="B428" s="217"/>
      <c r="C428" s="218"/>
      <c r="D428" s="219"/>
      <c r="E428" s="220"/>
      <c r="F428" s="221"/>
      <c r="G428" s="222"/>
    </row>
    <row r="429" spans="1:7" s="112" customFormat="1">
      <c r="A429" s="216"/>
      <c r="B429" s="217"/>
      <c r="C429" s="218"/>
      <c r="D429" s="219"/>
      <c r="E429" s="220"/>
      <c r="F429" s="221"/>
      <c r="G429" s="222"/>
    </row>
    <row r="430" spans="1:7" s="112" customFormat="1">
      <c r="A430" s="216"/>
      <c r="B430" s="217"/>
      <c r="C430" s="218"/>
      <c r="D430" s="219"/>
      <c r="E430" s="220"/>
      <c r="F430" s="221"/>
      <c r="G430" s="222"/>
    </row>
    <row r="431" spans="1:7" s="112" customFormat="1">
      <c r="A431" s="216"/>
      <c r="B431" s="217"/>
      <c r="C431" s="218"/>
      <c r="D431" s="219"/>
      <c r="E431" s="220"/>
      <c r="F431" s="221"/>
      <c r="G431" s="222"/>
    </row>
    <row r="432" spans="1:7" s="112" customFormat="1">
      <c r="A432" s="216"/>
      <c r="B432" s="217"/>
      <c r="C432" s="218"/>
      <c r="D432" s="219"/>
      <c r="E432" s="220"/>
      <c r="F432" s="221"/>
      <c r="G432" s="222"/>
    </row>
    <row r="433" spans="1:7" s="112" customFormat="1">
      <c r="A433" s="216"/>
      <c r="B433" s="217"/>
      <c r="C433" s="218"/>
      <c r="D433" s="219"/>
      <c r="E433" s="220"/>
      <c r="F433" s="221"/>
      <c r="G433" s="222"/>
    </row>
    <row r="434" spans="1:7" s="112" customFormat="1">
      <c r="A434" s="216"/>
      <c r="B434" s="217"/>
      <c r="C434" s="218"/>
      <c r="D434" s="219"/>
      <c r="E434" s="220"/>
      <c r="F434" s="221"/>
      <c r="G434" s="222"/>
    </row>
    <row r="435" spans="1:7" s="112" customFormat="1">
      <c r="A435" s="216"/>
      <c r="B435" s="217"/>
      <c r="C435" s="218"/>
      <c r="D435" s="219"/>
      <c r="E435" s="220"/>
      <c r="F435" s="221"/>
      <c r="G435" s="222"/>
    </row>
    <row r="436" spans="1:7" s="112" customFormat="1">
      <c r="A436" s="216"/>
      <c r="B436" s="217"/>
      <c r="C436" s="218"/>
      <c r="D436" s="219"/>
      <c r="E436" s="220"/>
      <c r="F436" s="221"/>
      <c r="G436" s="222"/>
    </row>
    <row r="437" spans="1:7" s="112" customFormat="1">
      <c r="A437" s="216"/>
      <c r="B437" s="217"/>
      <c r="C437" s="218"/>
      <c r="D437" s="219"/>
      <c r="E437" s="220"/>
      <c r="F437" s="221"/>
      <c r="G437" s="222"/>
    </row>
    <row r="438" spans="1:7" s="112" customFormat="1">
      <c r="A438" s="216"/>
      <c r="B438" s="217"/>
      <c r="C438" s="218"/>
      <c r="D438" s="219"/>
      <c r="E438" s="220"/>
      <c r="F438" s="221"/>
      <c r="G438" s="222"/>
    </row>
    <row r="439" spans="1:7" s="112" customFormat="1">
      <c r="A439" s="216"/>
      <c r="B439" s="217"/>
      <c r="C439" s="218"/>
      <c r="D439" s="219"/>
      <c r="E439" s="220"/>
      <c r="F439" s="221"/>
      <c r="G439" s="222"/>
    </row>
    <row r="440" spans="1:7" s="112" customFormat="1">
      <c r="A440" s="216"/>
      <c r="B440" s="217"/>
      <c r="C440" s="218"/>
      <c r="D440" s="219"/>
      <c r="E440" s="220"/>
      <c r="F440" s="221"/>
      <c r="G440" s="222"/>
    </row>
    <row r="441" spans="1:7" s="112" customFormat="1">
      <c r="A441" s="216"/>
      <c r="B441" s="217"/>
      <c r="C441" s="218"/>
      <c r="D441" s="219"/>
      <c r="E441" s="220"/>
      <c r="F441" s="221"/>
      <c r="G441" s="222"/>
    </row>
    <row r="442" spans="1:7" s="112" customFormat="1">
      <c r="A442" s="216"/>
      <c r="B442" s="217"/>
      <c r="C442" s="218"/>
      <c r="D442" s="219"/>
      <c r="E442" s="220"/>
      <c r="F442" s="221"/>
      <c r="G442" s="222"/>
    </row>
    <row r="443" spans="1:7" s="112" customFormat="1">
      <c r="A443" s="216"/>
      <c r="B443" s="217"/>
      <c r="C443" s="218"/>
      <c r="D443" s="219"/>
      <c r="E443" s="220"/>
      <c r="F443" s="221"/>
      <c r="G443" s="222"/>
    </row>
    <row r="444" spans="1:7" s="112" customFormat="1">
      <c r="A444" s="216"/>
      <c r="B444" s="217"/>
      <c r="C444" s="218"/>
      <c r="D444" s="219"/>
      <c r="E444" s="220"/>
      <c r="F444" s="221"/>
      <c r="G444" s="222"/>
    </row>
    <row r="445" spans="1:7" s="112" customFormat="1">
      <c r="A445" s="216"/>
      <c r="B445" s="217"/>
      <c r="C445" s="218"/>
      <c r="D445" s="219"/>
      <c r="E445" s="220"/>
      <c r="F445" s="221"/>
      <c r="G445" s="222"/>
    </row>
    <row r="446" spans="1:7" s="112" customFormat="1">
      <c r="A446" s="216"/>
      <c r="B446" s="217"/>
      <c r="C446" s="218"/>
      <c r="D446" s="219"/>
      <c r="E446" s="220"/>
      <c r="F446" s="221"/>
      <c r="G446" s="222"/>
    </row>
    <row r="447" spans="1:7" s="112" customFormat="1">
      <c r="A447" s="216"/>
      <c r="B447" s="217"/>
      <c r="C447" s="218"/>
      <c r="D447" s="219"/>
      <c r="E447" s="220"/>
      <c r="F447" s="221"/>
      <c r="G447" s="222"/>
    </row>
    <row r="448" spans="1:7" s="112" customFormat="1">
      <c r="A448" s="216"/>
      <c r="B448" s="217"/>
      <c r="C448" s="218"/>
      <c r="D448" s="219"/>
      <c r="E448" s="220"/>
      <c r="F448" s="221"/>
      <c r="G448" s="222"/>
    </row>
    <row r="449" spans="1:7" s="112" customFormat="1">
      <c r="A449" s="216"/>
      <c r="B449" s="217"/>
      <c r="C449" s="218"/>
      <c r="D449" s="219"/>
      <c r="E449" s="220"/>
      <c r="F449" s="221"/>
      <c r="G449" s="222"/>
    </row>
    <row r="450" spans="1:7" s="112" customFormat="1">
      <c r="A450" s="216"/>
      <c r="B450" s="217"/>
      <c r="C450" s="218"/>
      <c r="D450" s="219"/>
      <c r="E450" s="220"/>
      <c r="F450" s="221"/>
      <c r="G450" s="222"/>
    </row>
    <row r="451" spans="1:7" s="112" customFormat="1">
      <c r="A451" s="216"/>
      <c r="B451" s="217"/>
      <c r="C451" s="218"/>
      <c r="D451" s="219"/>
      <c r="E451" s="220"/>
      <c r="F451" s="221"/>
      <c r="G451" s="222"/>
    </row>
    <row r="452" spans="1:7" s="112" customFormat="1">
      <c r="A452" s="216"/>
      <c r="B452" s="217"/>
      <c r="C452" s="218"/>
      <c r="D452" s="219"/>
      <c r="E452" s="220"/>
      <c r="F452" s="221"/>
      <c r="G452" s="222"/>
    </row>
    <row r="453" spans="1:7" s="112" customFormat="1">
      <c r="A453" s="216"/>
      <c r="B453" s="217"/>
      <c r="C453" s="218"/>
      <c r="D453" s="219"/>
      <c r="E453" s="220"/>
      <c r="F453" s="221"/>
      <c r="G453" s="222"/>
    </row>
    <row r="454" spans="1:7" s="112" customFormat="1">
      <c r="A454" s="216"/>
      <c r="B454" s="217"/>
      <c r="C454" s="218"/>
      <c r="D454" s="219"/>
      <c r="E454" s="220"/>
      <c r="F454" s="221"/>
      <c r="G454" s="222"/>
    </row>
    <row r="455" spans="1:7" s="112" customFormat="1">
      <c r="A455" s="216"/>
      <c r="B455" s="217"/>
      <c r="C455" s="218"/>
      <c r="D455" s="219"/>
      <c r="E455" s="220"/>
      <c r="F455" s="221"/>
      <c r="G455" s="222"/>
    </row>
    <row r="456" spans="1:7" s="112" customFormat="1">
      <c r="A456" s="216"/>
      <c r="B456" s="217"/>
      <c r="C456" s="218"/>
      <c r="D456" s="219"/>
      <c r="E456" s="220"/>
      <c r="F456" s="221"/>
      <c r="G456" s="222"/>
    </row>
    <row r="457" spans="1:7" s="112" customFormat="1">
      <c r="A457" s="216"/>
      <c r="B457" s="217"/>
      <c r="C457" s="218"/>
      <c r="D457" s="219"/>
      <c r="E457" s="220"/>
      <c r="F457" s="221"/>
      <c r="G457" s="222"/>
    </row>
    <row r="458" spans="1:7" s="112" customFormat="1">
      <c r="A458" s="216"/>
      <c r="B458" s="217"/>
      <c r="C458" s="218"/>
      <c r="D458" s="219"/>
      <c r="E458" s="220"/>
      <c r="F458" s="221"/>
      <c r="G458" s="222"/>
    </row>
    <row r="459" spans="1:7" s="112" customFormat="1">
      <c r="A459" s="216"/>
      <c r="B459" s="217"/>
      <c r="C459" s="218"/>
      <c r="D459" s="219"/>
      <c r="E459" s="220"/>
      <c r="F459" s="221"/>
      <c r="G459" s="222"/>
    </row>
    <row r="460" spans="1:7" s="112" customFormat="1">
      <c r="A460" s="216"/>
      <c r="B460" s="217"/>
      <c r="C460" s="218"/>
      <c r="D460" s="219"/>
      <c r="E460" s="220"/>
      <c r="F460" s="221"/>
      <c r="G460" s="222"/>
    </row>
    <row r="461" spans="1:7" s="112" customFormat="1">
      <c r="A461" s="216"/>
      <c r="B461" s="217"/>
      <c r="C461" s="218"/>
      <c r="D461" s="219"/>
      <c r="E461" s="220"/>
      <c r="F461" s="221"/>
      <c r="G461" s="222"/>
    </row>
    <row r="462" spans="1:7" s="112" customFormat="1">
      <c r="A462" s="216"/>
      <c r="B462" s="217"/>
      <c r="C462" s="218"/>
      <c r="D462" s="219"/>
      <c r="E462" s="220"/>
      <c r="F462" s="221"/>
      <c r="G462" s="222"/>
    </row>
    <row r="463" spans="1:7" s="112" customFormat="1">
      <c r="A463" s="216"/>
      <c r="B463" s="217"/>
      <c r="C463" s="218"/>
      <c r="D463" s="219"/>
      <c r="E463" s="220"/>
      <c r="F463" s="221"/>
      <c r="G463" s="222"/>
    </row>
    <row r="464" spans="1:7" s="112" customFormat="1">
      <c r="A464" s="216"/>
      <c r="B464" s="217"/>
      <c r="C464" s="218"/>
      <c r="D464" s="219"/>
      <c r="E464" s="220"/>
      <c r="F464" s="221"/>
      <c r="G464" s="222"/>
    </row>
    <row r="465" spans="1:7" s="112" customFormat="1">
      <c r="A465" s="216"/>
      <c r="B465" s="217"/>
      <c r="C465" s="218"/>
      <c r="D465" s="219"/>
      <c r="E465" s="220"/>
      <c r="F465" s="221"/>
      <c r="G465" s="222"/>
    </row>
    <row r="466" spans="1:7" s="112" customFormat="1">
      <c r="A466" s="216"/>
      <c r="B466" s="217"/>
      <c r="C466" s="218"/>
      <c r="D466" s="219"/>
      <c r="E466" s="220"/>
      <c r="F466" s="221"/>
      <c r="G466" s="222"/>
    </row>
    <row r="467" spans="1:7" s="112" customFormat="1">
      <c r="A467" s="216"/>
      <c r="B467" s="217"/>
      <c r="C467" s="218"/>
      <c r="D467" s="219"/>
      <c r="E467" s="220"/>
      <c r="F467" s="221"/>
      <c r="G467" s="222"/>
    </row>
    <row r="468" spans="1:7" s="112" customFormat="1">
      <c r="A468" s="216"/>
      <c r="B468" s="217"/>
      <c r="C468" s="218"/>
      <c r="D468" s="219"/>
      <c r="E468" s="220"/>
      <c r="F468" s="221"/>
      <c r="G468" s="222"/>
    </row>
    <row r="469" spans="1:7" s="112" customFormat="1">
      <c r="A469" s="216"/>
      <c r="B469" s="217"/>
      <c r="C469" s="218"/>
      <c r="D469" s="219"/>
      <c r="E469" s="220"/>
      <c r="F469" s="221"/>
      <c r="G469" s="222"/>
    </row>
    <row r="470" spans="1:7" s="112" customFormat="1">
      <c r="A470" s="216"/>
      <c r="B470" s="217"/>
      <c r="C470" s="218"/>
      <c r="D470" s="219"/>
      <c r="E470" s="220"/>
      <c r="F470" s="221"/>
      <c r="G470" s="222"/>
    </row>
    <row r="471" spans="1:7" s="112" customFormat="1">
      <c r="A471" s="216"/>
      <c r="B471" s="217"/>
      <c r="C471" s="218"/>
      <c r="D471" s="219"/>
      <c r="E471" s="220"/>
      <c r="F471" s="221"/>
      <c r="G471" s="222"/>
    </row>
    <row r="472" spans="1:7" s="112" customFormat="1">
      <c r="A472" s="216"/>
      <c r="B472" s="217"/>
      <c r="C472" s="218"/>
      <c r="D472" s="219"/>
      <c r="E472" s="220"/>
      <c r="F472" s="221"/>
      <c r="G472" s="222"/>
    </row>
    <row r="473" spans="1:7" s="112" customFormat="1">
      <c r="A473" s="216"/>
      <c r="B473" s="217"/>
      <c r="C473" s="218"/>
      <c r="D473" s="219"/>
      <c r="E473" s="220"/>
      <c r="F473" s="221"/>
      <c r="G473" s="222"/>
    </row>
    <row r="474" spans="1:7" s="112" customFormat="1">
      <c r="A474" s="216"/>
      <c r="B474" s="217"/>
      <c r="C474" s="218"/>
      <c r="D474" s="219"/>
      <c r="E474" s="220"/>
      <c r="F474" s="221"/>
      <c r="G474" s="222"/>
    </row>
    <row r="475" spans="1:7" s="112" customFormat="1">
      <c r="A475" s="216"/>
      <c r="B475" s="217"/>
      <c r="C475" s="218"/>
      <c r="D475" s="219"/>
      <c r="E475" s="220"/>
      <c r="F475" s="221"/>
      <c r="G475" s="222"/>
    </row>
    <row r="476" spans="1:7" s="112" customFormat="1">
      <c r="A476" s="216"/>
      <c r="B476" s="217"/>
      <c r="C476" s="218"/>
      <c r="D476" s="219"/>
      <c r="E476" s="220"/>
      <c r="F476" s="221"/>
      <c r="G476" s="222"/>
    </row>
    <row r="477" spans="1:7" s="112" customFormat="1">
      <c r="A477" s="216"/>
      <c r="B477" s="217"/>
      <c r="C477" s="218"/>
      <c r="D477" s="219"/>
      <c r="E477" s="220"/>
      <c r="F477" s="221"/>
      <c r="G477" s="222"/>
    </row>
    <row r="478" spans="1:7" s="112" customFormat="1">
      <c r="A478" s="216"/>
      <c r="B478" s="217"/>
      <c r="C478" s="218"/>
      <c r="D478" s="219"/>
      <c r="E478" s="220"/>
      <c r="F478" s="221"/>
      <c r="G478" s="222"/>
    </row>
    <row r="479" spans="1:7" s="112" customFormat="1">
      <c r="A479" s="216"/>
      <c r="B479" s="217"/>
      <c r="C479" s="218"/>
      <c r="D479" s="219"/>
      <c r="E479" s="220"/>
      <c r="F479" s="221"/>
      <c r="G479" s="222"/>
    </row>
    <row r="480" spans="1:7" s="112" customFormat="1">
      <c r="A480" s="216"/>
      <c r="B480" s="217"/>
      <c r="C480" s="218"/>
      <c r="D480" s="219"/>
      <c r="E480" s="220"/>
      <c r="F480" s="221"/>
      <c r="G480" s="222"/>
    </row>
    <row r="481" spans="1:8" s="112" customFormat="1">
      <c r="A481" s="216"/>
      <c r="B481" s="217"/>
      <c r="C481" s="218"/>
      <c r="D481" s="219"/>
      <c r="E481" s="220"/>
      <c r="F481" s="221"/>
      <c r="G481" s="222"/>
    </row>
    <row r="482" spans="1:8" s="112" customFormat="1">
      <c r="A482" s="216"/>
      <c r="B482" s="217"/>
      <c r="C482" s="218"/>
      <c r="D482" s="219"/>
      <c r="E482" s="220"/>
      <c r="F482" s="221"/>
      <c r="G482" s="222"/>
    </row>
    <row r="483" spans="1:8" s="112" customFormat="1">
      <c r="A483" s="216"/>
      <c r="B483" s="217"/>
      <c r="C483" s="218"/>
      <c r="D483" s="219"/>
      <c r="E483" s="220"/>
      <c r="F483" s="221"/>
      <c r="G483" s="222"/>
    </row>
    <row r="484" spans="1:8" s="112" customFormat="1">
      <c r="A484" s="216"/>
      <c r="B484" s="217"/>
      <c r="C484" s="218"/>
      <c r="D484" s="219"/>
      <c r="E484" s="220"/>
      <c r="F484" s="221"/>
      <c r="G484" s="222"/>
    </row>
    <row r="485" spans="1:8" s="112" customFormat="1">
      <c r="A485" s="216"/>
      <c r="B485" s="217"/>
      <c r="C485" s="218"/>
      <c r="D485" s="219"/>
      <c r="E485" s="220"/>
      <c r="F485" s="221"/>
      <c r="G485" s="222"/>
    </row>
    <row r="486" spans="1:8" s="112" customFormat="1">
      <c r="A486" s="216"/>
      <c r="B486" s="217"/>
      <c r="C486" s="218"/>
      <c r="D486" s="219"/>
      <c r="E486" s="220"/>
      <c r="F486" s="221"/>
      <c r="G486" s="222"/>
    </row>
    <row r="487" spans="1:8" s="112" customFormat="1">
      <c r="A487" s="216"/>
      <c r="B487" s="217"/>
      <c r="C487" s="218"/>
      <c r="D487" s="219"/>
      <c r="E487" s="220"/>
      <c r="F487" s="221"/>
      <c r="G487" s="222"/>
    </row>
    <row r="488" spans="1:8" s="112" customFormat="1">
      <c r="A488" s="216"/>
      <c r="B488" s="217"/>
      <c r="C488" s="218"/>
      <c r="D488" s="219"/>
      <c r="E488" s="220"/>
      <c r="F488" s="221"/>
      <c r="G488" s="222"/>
    </row>
    <row r="489" spans="1:8" s="112" customFormat="1">
      <c r="A489" s="216"/>
      <c r="B489" s="217"/>
      <c r="C489" s="218"/>
      <c r="D489" s="219"/>
      <c r="E489" s="220"/>
      <c r="F489" s="221"/>
      <c r="G489" s="222"/>
    </row>
    <row r="490" spans="1:8" s="112" customFormat="1">
      <c r="A490" s="216"/>
      <c r="B490" s="217"/>
      <c r="C490" s="218"/>
      <c r="D490" s="219"/>
      <c r="E490" s="220"/>
      <c r="F490" s="221"/>
      <c r="G490" s="222"/>
    </row>
    <row r="491" spans="1:8" s="112" customFormat="1">
      <c r="A491" s="216"/>
      <c r="B491" s="217"/>
      <c r="C491" s="218"/>
      <c r="D491" s="219"/>
      <c r="E491" s="220"/>
      <c r="F491" s="221"/>
      <c r="G491" s="222"/>
    </row>
    <row r="492" spans="1:8" s="112" customFormat="1">
      <c r="A492" s="216"/>
      <c r="B492" s="217"/>
      <c r="C492" s="218"/>
      <c r="D492" s="219"/>
      <c r="E492" s="220"/>
      <c r="F492" s="221"/>
      <c r="G492" s="222"/>
    </row>
    <row r="493" spans="1:8">
      <c r="B493" s="217"/>
      <c r="C493" s="218"/>
      <c r="D493" s="219"/>
      <c r="E493" s="220"/>
      <c r="F493" s="221"/>
      <c r="G493" s="222"/>
      <c r="H493" s="112"/>
    </row>
    <row r="494" spans="1:8">
      <c r="B494" s="217"/>
      <c r="C494" s="218"/>
      <c r="D494" s="219"/>
      <c r="E494" s="220"/>
      <c r="F494" s="221"/>
      <c r="G494" s="222"/>
      <c r="H494" s="112"/>
    </row>
    <row r="495" spans="1:8">
      <c r="B495" s="217"/>
      <c r="C495" s="218"/>
      <c r="D495" s="219"/>
      <c r="E495" s="220"/>
      <c r="F495" s="221"/>
      <c r="G495" s="222"/>
      <c r="H495" s="112"/>
    </row>
    <row r="496" spans="1:8">
      <c r="B496" s="217"/>
      <c r="C496" s="218"/>
      <c r="D496" s="219"/>
      <c r="E496" s="220"/>
      <c r="F496" s="221"/>
      <c r="G496" s="222"/>
      <c r="H496" s="112"/>
    </row>
    <row r="497" spans="2:8">
      <c r="B497" s="217"/>
      <c r="C497" s="218"/>
      <c r="D497" s="219"/>
      <c r="E497" s="220"/>
      <c r="F497" s="221"/>
      <c r="G497" s="222"/>
      <c r="H497" s="112"/>
    </row>
    <row r="498" spans="2:8">
      <c r="B498" s="217"/>
      <c r="C498" s="218"/>
      <c r="D498" s="219"/>
      <c r="E498" s="220"/>
      <c r="F498" s="221"/>
    </row>
  </sheetData>
  <autoFilter ref="B2:K2"/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K498"/>
  <sheetViews>
    <sheetView view="pageBreakPreview" workbookViewId="0">
      <selection activeCell="E1" sqref="E1:E1048576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75" style="227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145" customFormat="1" ht="37.5" customHeight="1" thickBot="1">
      <c r="A1" s="30"/>
      <c r="B1" s="63" t="s">
        <v>163</v>
      </c>
      <c r="C1" s="314" t="s">
        <v>367</v>
      </c>
      <c r="D1" s="315"/>
      <c r="E1" s="2"/>
      <c r="F1" s="66"/>
      <c r="G1" s="54" t="s">
        <v>164</v>
      </c>
      <c r="H1"/>
      <c r="I1" s="145" t="s">
        <v>165</v>
      </c>
      <c r="J1" s="145" t="s">
        <v>166</v>
      </c>
      <c r="K1"/>
    </row>
    <row r="2" spans="1:11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I3" s="163"/>
      <c r="J3" s="164"/>
      <c r="K3" s="163"/>
    </row>
    <row r="4" spans="1:11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I4" s="163"/>
      <c r="J4" s="164"/>
      <c r="K4" s="163"/>
    </row>
    <row r="5" spans="1:11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I5" s="163"/>
      <c r="J5" s="164"/>
      <c r="K5" s="163"/>
    </row>
    <row r="6" spans="1:11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I6" s="163"/>
      <c r="J6" s="164"/>
      <c r="K6" s="163"/>
    </row>
    <row r="7" spans="1:11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I7" s="163"/>
      <c r="J7" s="164"/>
      <c r="K7" s="163"/>
    </row>
    <row r="8" spans="1:11" s="3" customFormat="1" ht="21" customHeight="1">
      <c r="A8" s="156" t="s">
        <v>17</v>
      </c>
      <c r="B8" s="167"/>
      <c r="C8" s="158"/>
      <c r="D8" s="159"/>
      <c r="E8" s="230"/>
      <c r="F8" s="160"/>
      <c r="G8" s="161"/>
      <c r="H8" s="162"/>
      <c r="I8" s="163"/>
      <c r="J8" s="164"/>
      <c r="K8" s="163"/>
    </row>
    <row r="9" spans="1:11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72"/>
      <c r="D31" s="159"/>
      <c r="E31" s="230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94"/>
      <c r="D38" s="195"/>
      <c r="E38" s="234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72"/>
      <c r="D39" s="159"/>
      <c r="E39" s="230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94"/>
      <c r="D73" s="195"/>
      <c r="E73" s="234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75"/>
      <c r="D74" s="176"/>
      <c r="E74" s="232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30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31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31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31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30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30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30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32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33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31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31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34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30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54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54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32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30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31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31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31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31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54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34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32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30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31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31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31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31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54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34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55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30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30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30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30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30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3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54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55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3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3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3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3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3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54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34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55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3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54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54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54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54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54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54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55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3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3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34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3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54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54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54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55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34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144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144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144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144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144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144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55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20"/>
      <c r="F147" s="221"/>
      <c r="G147" s="222"/>
    </row>
    <row r="148" spans="1:11" s="112" customFormat="1">
      <c r="A148" s="216"/>
      <c r="B148" s="217"/>
      <c r="C148" s="218"/>
      <c r="D148" s="219"/>
      <c r="E148" s="220"/>
      <c r="F148" s="221"/>
      <c r="G148" s="222"/>
    </row>
    <row r="149" spans="1:11" s="112" customFormat="1">
      <c r="A149" s="216"/>
      <c r="B149" s="217"/>
      <c r="C149" s="218"/>
      <c r="D149" s="219"/>
      <c r="E149" s="220"/>
      <c r="F149" s="221"/>
      <c r="G149" s="222"/>
    </row>
    <row r="150" spans="1:11" s="112" customFormat="1">
      <c r="A150" s="216"/>
      <c r="B150" s="217"/>
      <c r="C150" s="218"/>
      <c r="D150" s="219"/>
      <c r="E150" s="220"/>
      <c r="F150" s="221"/>
      <c r="G150" s="222"/>
    </row>
    <row r="151" spans="1:11" s="112" customFormat="1">
      <c r="A151" s="216"/>
      <c r="B151" s="217"/>
      <c r="C151" s="218"/>
      <c r="D151" s="219"/>
      <c r="E151" s="220"/>
      <c r="F151" s="221"/>
      <c r="G151" s="222"/>
    </row>
    <row r="152" spans="1:11" s="112" customFormat="1">
      <c r="A152" s="216"/>
      <c r="B152" s="217"/>
      <c r="C152" s="218"/>
      <c r="D152" s="219"/>
      <c r="E152" s="220"/>
      <c r="F152" s="221"/>
      <c r="G152" s="222"/>
    </row>
    <row r="153" spans="1:11" s="112" customFormat="1">
      <c r="A153" s="216"/>
      <c r="B153" s="217"/>
      <c r="C153" s="218"/>
      <c r="D153" s="219"/>
      <c r="E153" s="220"/>
      <c r="F153" s="221"/>
      <c r="G153" s="222"/>
    </row>
    <row r="154" spans="1:11" s="112" customFormat="1">
      <c r="A154" s="216"/>
      <c r="B154" s="217"/>
      <c r="C154" s="218"/>
      <c r="D154" s="219"/>
      <c r="E154" s="220"/>
      <c r="F154" s="221"/>
      <c r="G154" s="222"/>
    </row>
    <row r="155" spans="1:11" s="112" customFormat="1">
      <c r="A155" s="216"/>
      <c r="B155" s="217"/>
      <c r="C155" s="218"/>
      <c r="D155" s="219"/>
      <c r="E155" s="220"/>
      <c r="F155" s="221"/>
      <c r="G155" s="222"/>
    </row>
    <row r="156" spans="1:11" s="112" customFormat="1">
      <c r="A156" s="216"/>
      <c r="B156" s="217"/>
      <c r="C156" s="218"/>
      <c r="D156" s="219"/>
      <c r="E156" s="220"/>
      <c r="F156" s="221"/>
      <c r="G156" s="222"/>
    </row>
    <row r="157" spans="1:11" s="112" customFormat="1">
      <c r="A157" s="216"/>
      <c r="B157" s="217"/>
      <c r="C157" s="218"/>
      <c r="D157" s="219"/>
      <c r="E157" s="220"/>
      <c r="F157" s="221"/>
      <c r="G157" s="222"/>
    </row>
    <row r="158" spans="1:11" s="112" customFormat="1">
      <c r="A158" s="216"/>
      <c r="B158" s="217"/>
      <c r="C158" s="218"/>
      <c r="D158" s="219"/>
      <c r="E158" s="220"/>
      <c r="F158" s="221"/>
      <c r="G158" s="222"/>
    </row>
    <row r="159" spans="1:11" s="112" customFormat="1">
      <c r="A159" s="216"/>
      <c r="B159" s="217"/>
      <c r="C159" s="218"/>
      <c r="D159" s="219"/>
      <c r="E159" s="220"/>
      <c r="F159" s="221"/>
      <c r="G159" s="222"/>
    </row>
    <row r="160" spans="1:11" s="112" customFormat="1">
      <c r="A160" s="216"/>
      <c r="B160" s="217"/>
      <c r="C160" s="218"/>
      <c r="D160" s="219"/>
      <c r="E160" s="220"/>
      <c r="F160" s="221"/>
      <c r="G160" s="222"/>
    </row>
    <row r="161" spans="1:7" s="112" customFormat="1">
      <c r="A161" s="216"/>
      <c r="B161" s="217"/>
      <c r="C161" s="218"/>
      <c r="D161" s="219"/>
      <c r="E161" s="220"/>
      <c r="F161" s="221"/>
      <c r="G161" s="222"/>
    </row>
    <row r="162" spans="1:7" s="112" customFormat="1">
      <c r="A162" s="216"/>
      <c r="B162" s="217"/>
      <c r="C162" s="218"/>
      <c r="D162" s="219"/>
      <c r="E162" s="220"/>
      <c r="F162" s="221"/>
      <c r="G162" s="222"/>
    </row>
    <row r="163" spans="1:7" s="112" customFormat="1">
      <c r="A163" s="216"/>
      <c r="B163" s="217"/>
      <c r="C163" s="218"/>
      <c r="D163" s="219"/>
      <c r="E163" s="220"/>
      <c r="F163" s="221"/>
      <c r="G163" s="222"/>
    </row>
    <row r="164" spans="1:7" s="112" customFormat="1">
      <c r="A164" s="216"/>
      <c r="B164" s="217"/>
      <c r="C164" s="218"/>
      <c r="D164" s="219"/>
      <c r="E164" s="220"/>
      <c r="F164" s="221"/>
      <c r="G164" s="222"/>
    </row>
    <row r="165" spans="1:7" s="112" customFormat="1">
      <c r="A165" s="216"/>
      <c r="B165" s="217"/>
      <c r="C165" s="218"/>
      <c r="D165" s="219"/>
      <c r="E165" s="220"/>
      <c r="F165" s="221"/>
      <c r="G165" s="222"/>
    </row>
    <row r="166" spans="1:7" s="112" customFormat="1">
      <c r="A166" s="216"/>
      <c r="B166" s="217"/>
      <c r="C166" s="218"/>
      <c r="D166" s="219"/>
      <c r="E166" s="220"/>
      <c r="F166" s="221"/>
      <c r="G166" s="222"/>
    </row>
    <row r="167" spans="1:7" s="112" customFormat="1">
      <c r="A167" s="216"/>
      <c r="B167" s="217"/>
      <c r="C167" s="218"/>
      <c r="D167" s="219"/>
      <c r="E167" s="220"/>
      <c r="F167" s="221"/>
      <c r="G167" s="222"/>
    </row>
    <row r="168" spans="1:7" s="112" customFormat="1">
      <c r="A168" s="216"/>
      <c r="B168" s="217"/>
      <c r="C168" s="218"/>
      <c r="D168" s="219"/>
      <c r="E168" s="220"/>
      <c r="F168" s="221"/>
      <c r="G168" s="222"/>
    </row>
    <row r="169" spans="1:7" s="112" customFormat="1">
      <c r="A169" s="216"/>
      <c r="B169" s="217"/>
      <c r="C169" s="218"/>
      <c r="D169" s="219"/>
      <c r="E169" s="220"/>
      <c r="F169" s="221"/>
      <c r="G169" s="222"/>
    </row>
    <row r="170" spans="1:7" s="112" customFormat="1">
      <c r="A170" s="216"/>
      <c r="B170" s="217"/>
      <c r="C170" s="218"/>
      <c r="D170" s="219"/>
      <c r="E170" s="220"/>
      <c r="F170" s="221"/>
      <c r="G170" s="222"/>
    </row>
    <row r="171" spans="1:7" s="112" customFormat="1">
      <c r="A171" s="216"/>
      <c r="B171" s="217"/>
      <c r="C171" s="218"/>
      <c r="D171" s="219"/>
      <c r="E171" s="220"/>
      <c r="F171" s="221"/>
      <c r="G171" s="222"/>
    </row>
    <row r="172" spans="1:7" s="112" customFormat="1">
      <c r="A172" s="216"/>
      <c r="B172" s="217"/>
      <c r="C172" s="218"/>
      <c r="D172" s="219"/>
      <c r="E172" s="220"/>
      <c r="F172" s="221"/>
      <c r="G172" s="222"/>
    </row>
    <row r="173" spans="1:7" s="112" customFormat="1">
      <c r="A173" s="216"/>
      <c r="B173" s="217"/>
      <c r="C173" s="218"/>
      <c r="D173" s="219"/>
      <c r="E173" s="220"/>
      <c r="F173" s="221"/>
      <c r="G173" s="222"/>
    </row>
    <row r="174" spans="1:7" s="112" customFormat="1">
      <c r="A174" s="216"/>
      <c r="B174" s="217"/>
      <c r="C174" s="218"/>
      <c r="D174" s="219"/>
      <c r="E174" s="220"/>
      <c r="F174" s="221"/>
      <c r="G174" s="222"/>
    </row>
    <row r="175" spans="1:7" s="112" customFormat="1">
      <c r="A175" s="216"/>
      <c r="B175" s="217"/>
      <c r="C175" s="218"/>
      <c r="D175" s="219"/>
      <c r="E175" s="220"/>
      <c r="F175" s="221"/>
      <c r="G175" s="222"/>
    </row>
    <row r="176" spans="1:7" s="112" customFormat="1">
      <c r="A176" s="216"/>
      <c r="B176" s="217"/>
      <c r="C176" s="218"/>
      <c r="D176" s="219"/>
      <c r="E176" s="220"/>
      <c r="F176" s="221"/>
      <c r="G176" s="222"/>
    </row>
    <row r="177" spans="1:7" s="112" customFormat="1">
      <c r="A177" s="216"/>
      <c r="B177" s="217"/>
      <c r="C177" s="218"/>
      <c r="D177" s="219"/>
      <c r="E177" s="220"/>
      <c r="F177" s="221"/>
      <c r="G177" s="222"/>
    </row>
    <row r="178" spans="1:7" s="112" customFormat="1">
      <c r="A178" s="216"/>
      <c r="B178" s="217"/>
      <c r="C178" s="218"/>
      <c r="D178" s="219"/>
      <c r="E178" s="220"/>
      <c r="F178" s="221"/>
      <c r="G178" s="222"/>
    </row>
    <row r="179" spans="1:7" s="112" customFormat="1">
      <c r="A179" s="216"/>
      <c r="B179" s="217"/>
      <c r="C179" s="218"/>
      <c r="D179" s="219"/>
      <c r="E179" s="220"/>
      <c r="F179" s="221"/>
      <c r="G179" s="222"/>
    </row>
    <row r="180" spans="1:7" s="112" customFormat="1">
      <c r="A180" s="216"/>
      <c r="B180" s="217"/>
      <c r="C180" s="218"/>
      <c r="D180" s="219"/>
      <c r="E180" s="220"/>
      <c r="F180" s="221"/>
      <c r="G180" s="222"/>
    </row>
    <row r="181" spans="1:7" s="112" customFormat="1">
      <c r="A181" s="216"/>
      <c r="B181" s="217"/>
      <c r="C181" s="218"/>
      <c r="D181" s="219"/>
      <c r="E181" s="220"/>
      <c r="F181" s="221"/>
      <c r="G181" s="222"/>
    </row>
    <row r="182" spans="1:7" s="112" customFormat="1">
      <c r="A182" s="216"/>
      <c r="B182" s="217"/>
      <c r="C182" s="218"/>
      <c r="D182" s="219"/>
      <c r="E182" s="220"/>
      <c r="F182" s="221"/>
      <c r="G182" s="222"/>
    </row>
    <row r="183" spans="1:7" s="112" customFormat="1">
      <c r="A183" s="216"/>
      <c r="B183" s="217"/>
      <c r="C183" s="218"/>
      <c r="D183" s="219"/>
      <c r="E183" s="220"/>
      <c r="F183" s="221"/>
      <c r="G183" s="222"/>
    </row>
    <row r="184" spans="1:7" s="112" customFormat="1">
      <c r="A184" s="216"/>
      <c r="B184" s="217"/>
      <c r="C184" s="218"/>
      <c r="D184" s="219"/>
      <c r="E184" s="220"/>
      <c r="F184" s="221"/>
      <c r="G184" s="222"/>
    </row>
    <row r="185" spans="1:7" s="112" customFormat="1">
      <c r="A185" s="216"/>
      <c r="B185" s="217"/>
      <c r="C185" s="218"/>
      <c r="D185" s="219"/>
      <c r="E185" s="220"/>
      <c r="F185" s="221"/>
      <c r="G185" s="222"/>
    </row>
    <row r="186" spans="1:7" s="112" customFormat="1">
      <c r="A186" s="216"/>
      <c r="B186" s="217"/>
      <c r="C186" s="218"/>
      <c r="D186" s="219"/>
      <c r="E186" s="220"/>
      <c r="F186" s="221"/>
      <c r="G186" s="222"/>
    </row>
    <row r="187" spans="1:7" s="112" customFormat="1">
      <c r="A187" s="216"/>
      <c r="B187" s="217"/>
      <c r="C187" s="218"/>
      <c r="D187" s="219"/>
      <c r="E187" s="220"/>
      <c r="F187" s="221"/>
      <c r="G187" s="222"/>
    </row>
    <row r="188" spans="1:7" s="112" customFormat="1">
      <c r="A188" s="216"/>
      <c r="B188" s="217"/>
      <c r="C188" s="218"/>
      <c r="D188" s="219"/>
      <c r="E188" s="220"/>
      <c r="F188" s="221"/>
      <c r="G188" s="222"/>
    </row>
    <row r="189" spans="1:7" s="112" customFormat="1">
      <c r="A189" s="216"/>
      <c r="B189" s="217"/>
      <c r="C189" s="218"/>
      <c r="D189" s="219"/>
      <c r="E189" s="220"/>
      <c r="F189" s="221"/>
      <c r="G189" s="222"/>
    </row>
    <row r="190" spans="1:7" s="112" customFormat="1">
      <c r="A190" s="216"/>
      <c r="B190" s="217"/>
      <c r="C190" s="218"/>
      <c r="D190" s="219"/>
      <c r="E190" s="220"/>
      <c r="F190" s="221"/>
      <c r="G190" s="222"/>
    </row>
    <row r="191" spans="1:7" s="112" customFormat="1">
      <c r="A191" s="216"/>
      <c r="B191" s="217"/>
      <c r="C191" s="218"/>
      <c r="D191" s="219"/>
      <c r="E191" s="220"/>
      <c r="F191" s="221"/>
      <c r="G191" s="222"/>
    </row>
    <row r="192" spans="1:7" s="112" customFormat="1">
      <c r="A192" s="216"/>
      <c r="B192" s="217"/>
      <c r="C192" s="218"/>
      <c r="D192" s="219"/>
      <c r="E192" s="220"/>
      <c r="F192" s="221"/>
      <c r="G192" s="222"/>
    </row>
    <row r="193" spans="1:7" s="112" customFormat="1">
      <c r="A193" s="216"/>
      <c r="B193" s="217"/>
      <c r="C193" s="218"/>
      <c r="D193" s="219"/>
      <c r="E193" s="220"/>
      <c r="F193" s="221"/>
      <c r="G193" s="222"/>
    </row>
    <row r="194" spans="1:7" s="112" customFormat="1">
      <c r="A194" s="216"/>
      <c r="B194" s="217"/>
      <c r="C194" s="218"/>
      <c r="D194" s="219"/>
      <c r="E194" s="220"/>
      <c r="F194" s="221"/>
      <c r="G194" s="222"/>
    </row>
    <row r="195" spans="1:7" s="112" customFormat="1">
      <c r="A195" s="216"/>
      <c r="B195" s="217"/>
      <c r="C195" s="218"/>
      <c r="D195" s="219"/>
      <c r="E195" s="220"/>
      <c r="F195" s="221"/>
      <c r="G195" s="222"/>
    </row>
    <row r="196" spans="1:7" s="112" customFormat="1">
      <c r="A196" s="216"/>
      <c r="B196" s="217"/>
      <c r="C196" s="218"/>
      <c r="D196" s="219"/>
      <c r="E196" s="220"/>
      <c r="F196" s="221"/>
      <c r="G196" s="222"/>
    </row>
    <row r="197" spans="1:7" s="112" customFormat="1">
      <c r="A197" s="216"/>
      <c r="B197" s="217"/>
      <c r="C197" s="218"/>
      <c r="D197" s="219"/>
      <c r="E197" s="220"/>
      <c r="F197" s="221"/>
      <c r="G197" s="222"/>
    </row>
    <row r="198" spans="1:7" s="112" customFormat="1">
      <c r="A198" s="216"/>
      <c r="B198" s="217"/>
      <c r="C198" s="218"/>
      <c r="D198" s="219"/>
      <c r="E198" s="220"/>
      <c r="F198" s="221"/>
      <c r="G198" s="222"/>
    </row>
    <row r="199" spans="1:7" s="112" customFormat="1">
      <c r="A199" s="216"/>
      <c r="B199" s="217"/>
      <c r="C199" s="218"/>
      <c r="D199" s="219"/>
      <c r="E199" s="220"/>
      <c r="F199" s="221"/>
      <c r="G199" s="222"/>
    </row>
    <row r="200" spans="1:7" s="112" customFormat="1">
      <c r="A200" s="216"/>
      <c r="B200" s="217"/>
      <c r="C200" s="218"/>
      <c r="D200" s="219"/>
      <c r="E200" s="220"/>
      <c r="F200" s="221"/>
      <c r="G200" s="222"/>
    </row>
    <row r="201" spans="1:7" s="112" customFormat="1">
      <c r="A201" s="216"/>
      <c r="B201" s="217"/>
      <c r="C201" s="218"/>
      <c r="D201" s="219"/>
      <c r="E201" s="220"/>
      <c r="F201" s="221"/>
      <c r="G201" s="222"/>
    </row>
    <row r="202" spans="1:7" s="112" customFormat="1">
      <c r="A202" s="216"/>
      <c r="B202" s="217"/>
      <c r="C202" s="218"/>
      <c r="D202" s="219"/>
      <c r="E202" s="220"/>
      <c r="F202" s="221"/>
      <c r="G202" s="222"/>
    </row>
    <row r="203" spans="1:7" s="112" customFormat="1">
      <c r="A203" s="216"/>
      <c r="B203" s="217"/>
      <c r="C203" s="218"/>
      <c r="D203" s="219"/>
      <c r="E203" s="220"/>
      <c r="F203" s="221"/>
      <c r="G203" s="222"/>
    </row>
    <row r="204" spans="1:7" s="112" customFormat="1">
      <c r="A204" s="216"/>
      <c r="B204" s="217"/>
      <c r="C204" s="218"/>
      <c r="D204" s="219"/>
      <c r="E204" s="220"/>
      <c r="F204" s="221"/>
      <c r="G204" s="222"/>
    </row>
    <row r="205" spans="1:7" s="112" customFormat="1">
      <c r="A205" s="216"/>
      <c r="B205" s="217"/>
      <c r="C205" s="218"/>
      <c r="D205" s="219"/>
      <c r="E205" s="220"/>
      <c r="F205" s="221"/>
      <c r="G205" s="222"/>
    </row>
    <row r="206" spans="1:7" s="112" customFormat="1">
      <c r="A206" s="216"/>
      <c r="B206" s="217"/>
      <c r="C206" s="218"/>
      <c r="D206" s="219"/>
      <c r="E206" s="220"/>
      <c r="F206" s="221"/>
      <c r="G206" s="222"/>
    </row>
    <row r="207" spans="1:7" s="112" customFormat="1">
      <c r="A207" s="216"/>
      <c r="B207" s="217"/>
      <c r="C207" s="218"/>
      <c r="D207" s="219"/>
      <c r="E207" s="220"/>
      <c r="F207" s="221"/>
      <c r="G207" s="222"/>
    </row>
    <row r="208" spans="1:7" s="112" customFormat="1">
      <c r="A208" s="216"/>
      <c r="B208" s="217"/>
      <c r="C208" s="218"/>
      <c r="D208" s="219"/>
      <c r="E208" s="220"/>
      <c r="F208" s="221"/>
      <c r="G208" s="222"/>
    </row>
    <row r="209" spans="1:7" s="112" customFormat="1">
      <c r="A209" s="216"/>
      <c r="B209" s="217"/>
      <c r="C209" s="218"/>
      <c r="D209" s="219"/>
      <c r="E209" s="220"/>
      <c r="F209" s="221"/>
      <c r="G209" s="222"/>
    </row>
    <row r="210" spans="1:7" s="112" customFormat="1">
      <c r="A210" s="216"/>
      <c r="B210" s="217"/>
      <c r="C210" s="218"/>
      <c r="D210" s="219"/>
      <c r="E210" s="220"/>
      <c r="F210" s="221"/>
      <c r="G210" s="222"/>
    </row>
    <row r="211" spans="1:7" s="112" customFormat="1">
      <c r="A211" s="216"/>
      <c r="B211" s="217"/>
      <c r="C211" s="218"/>
      <c r="D211" s="219"/>
      <c r="E211" s="220"/>
      <c r="F211" s="221"/>
      <c r="G211" s="222"/>
    </row>
    <row r="212" spans="1:7" s="112" customFormat="1">
      <c r="A212" s="216"/>
      <c r="B212" s="217"/>
      <c r="C212" s="218"/>
      <c r="D212" s="219"/>
      <c r="E212" s="220"/>
      <c r="F212" s="221"/>
      <c r="G212" s="222"/>
    </row>
    <row r="213" spans="1:7" s="112" customFormat="1">
      <c r="A213" s="216"/>
      <c r="B213" s="217"/>
      <c r="C213" s="218"/>
      <c r="D213" s="219"/>
      <c r="E213" s="220"/>
      <c r="F213" s="221"/>
      <c r="G213" s="222"/>
    </row>
    <row r="214" spans="1:7" s="112" customFormat="1">
      <c r="A214" s="216"/>
      <c r="B214" s="217"/>
      <c r="C214" s="218"/>
      <c r="D214" s="219"/>
      <c r="E214" s="220"/>
      <c r="F214" s="221"/>
      <c r="G214" s="222"/>
    </row>
    <row r="215" spans="1:7" s="112" customFormat="1">
      <c r="A215" s="216"/>
      <c r="B215" s="217"/>
      <c r="C215" s="218"/>
      <c r="D215" s="219"/>
      <c r="E215" s="220"/>
      <c r="F215" s="221"/>
      <c r="G215" s="222"/>
    </row>
    <row r="216" spans="1:7" s="112" customFormat="1">
      <c r="A216" s="216"/>
      <c r="B216" s="217"/>
      <c r="C216" s="218"/>
      <c r="D216" s="219"/>
      <c r="E216" s="220"/>
      <c r="F216" s="221"/>
      <c r="G216" s="222"/>
    </row>
    <row r="217" spans="1:7" s="112" customFormat="1">
      <c r="A217" s="216"/>
      <c r="B217" s="217"/>
      <c r="C217" s="218"/>
      <c r="D217" s="219"/>
      <c r="E217" s="220"/>
      <c r="F217" s="221"/>
      <c r="G217" s="222"/>
    </row>
    <row r="218" spans="1:7" s="112" customFormat="1">
      <c r="A218" s="216"/>
      <c r="B218" s="217"/>
      <c r="C218" s="218"/>
      <c r="D218" s="219"/>
      <c r="E218" s="220"/>
      <c r="F218" s="221"/>
      <c r="G218" s="222"/>
    </row>
    <row r="219" spans="1:7" s="112" customFormat="1">
      <c r="A219" s="216"/>
      <c r="B219" s="217"/>
      <c r="C219" s="218"/>
      <c r="D219" s="219"/>
      <c r="E219" s="220"/>
      <c r="F219" s="221"/>
      <c r="G219" s="222"/>
    </row>
    <row r="220" spans="1:7" s="112" customFormat="1">
      <c r="A220" s="216"/>
      <c r="B220" s="217"/>
      <c r="C220" s="218"/>
      <c r="D220" s="219"/>
      <c r="E220" s="220"/>
      <c r="F220" s="221"/>
      <c r="G220" s="222"/>
    </row>
    <row r="221" spans="1:7" s="112" customFormat="1">
      <c r="A221" s="216"/>
      <c r="B221" s="217"/>
      <c r="C221" s="218"/>
      <c r="D221" s="219"/>
      <c r="E221" s="220"/>
      <c r="F221" s="221"/>
      <c r="G221" s="222"/>
    </row>
    <row r="222" spans="1:7" s="112" customFormat="1">
      <c r="A222" s="216"/>
      <c r="B222" s="217"/>
      <c r="C222" s="218"/>
      <c r="D222" s="219"/>
      <c r="E222" s="220"/>
      <c r="F222" s="221"/>
      <c r="G222" s="222"/>
    </row>
    <row r="223" spans="1:7" s="112" customFormat="1">
      <c r="A223" s="216"/>
      <c r="B223" s="217"/>
      <c r="C223" s="218"/>
      <c r="D223" s="219"/>
      <c r="E223" s="220"/>
      <c r="F223" s="221"/>
      <c r="G223" s="222"/>
    </row>
    <row r="224" spans="1:7" s="112" customFormat="1">
      <c r="A224" s="216"/>
      <c r="B224" s="217"/>
      <c r="C224" s="218"/>
      <c r="D224" s="219"/>
      <c r="E224" s="220"/>
      <c r="F224" s="221"/>
      <c r="G224" s="222"/>
    </row>
    <row r="225" spans="1:7" s="112" customFormat="1">
      <c r="A225" s="216"/>
      <c r="B225" s="217"/>
      <c r="C225" s="218"/>
      <c r="D225" s="219"/>
      <c r="E225" s="220"/>
      <c r="F225" s="221"/>
      <c r="G225" s="222"/>
    </row>
    <row r="226" spans="1:7" s="112" customFormat="1">
      <c r="A226" s="216"/>
      <c r="B226" s="217"/>
      <c r="C226" s="218"/>
      <c r="D226" s="219"/>
      <c r="E226" s="220"/>
      <c r="F226" s="221"/>
      <c r="G226" s="222"/>
    </row>
    <row r="227" spans="1:7" s="112" customFormat="1">
      <c r="A227" s="216"/>
      <c r="B227" s="217"/>
      <c r="C227" s="218"/>
      <c r="D227" s="219"/>
      <c r="E227" s="220"/>
      <c r="F227" s="221"/>
      <c r="G227" s="222"/>
    </row>
    <row r="228" spans="1:7" s="112" customFormat="1">
      <c r="A228" s="216"/>
      <c r="B228" s="217"/>
      <c r="C228" s="218"/>
      <c r="D228" s="219"/>
      <c r="E228" s="220"/>
      <c r="F228" s="221"/>
      <c r="G228" s="222"/>
    </row>
    <row r="229" spans="1:7" s="112" customFormat="1">
      <c r="A229" s="216"/>
      <c r="B229" s="217"/>
      <c r="C229" s="218"/>
      <c r="D229" s="219"/>
      <c r="E229" s="220"/>
      <c r="F229" s="221"/>
      <c r="G229" s="222"/>
    </row>
    <row r="230" spans="1:7" s="112" customFormat="1">
      <c r="A230" s="216"/>
      <c r="B230" s="217"/>
      <c r="C230" s="218"/>
      <c r="D230" s="219"/>
      <c r="E230" s="220"/>
      <c r="F230" s="221"/>
      <c r="G230" s="222"/>
    </row>
    <row r="231" spans="1:7" s="112" customFormat="1">
      <c r="A231" s="216"/>
      <c r="B231" s="217"/>
      <c r="C231" s="218"/>
      <c r="D231" s="219"/>
      <c r="E231" s="220"/>
      <c r="F231" s="221"/>
      <c r="G231" s="222"/>
    </row>
    <row r="232" spans="1:7" s="112" customFormat="1">
      <c r="A232" s="216"/>
      <c r="B232" s="217"/>
      <c r="C232" s="218"/>
      <c r="D232" s="219"/>
      <c r="E232" s="220"/>
      <c r="F232" s="221"/>
      <c r="G232" s="222"/>
    </row>
    <row r="233" spans="1:7" s="112" customFormat="1">
      <c r="A233" s="216"/>
      <c r="B233" s="217"/>
      <c r="C233" s="218"/>
      <c r="D233" s="219"/>
      <c r="E233" s="220"/>
      <c r="F233" s="221"/>
      <c r="G233" s="222"/>
    </row>
    <row r="234" spans="1:7" s="112" customFormat="1">
      <c r="A234" s="216"/>
      <c r="B234" s="217"/>
      <c r="C234" s="218"/>
      <c r="D234" s="219"/>
      <c r="E234" s="220"/>
      <c r="F234" s="221"/>
      <c r="G234" s="222"/>
    </row>
    <row r="235" spans="1:7" s="112" customFormat="1">
      <c r="A235" s="216"/>
      <c r="B235" s="217"/>
      <c r="C235" s="218"/>
      <c r="D235" s="219"/>
      <c r="E235" s="220"/>
      <c r="F235" s="221"/>
      <c r="G235" s="222"/>
    </row>
    <row r="236" spans="1:7" s="112" customFormat="1">
      <c r="A236" s="216"/>
      <c r="B236" s="217"/>
      <c r="C236" s="218"/>
      <c r="D236" s="219"/>
      <c r="E236" s="220"/>
      <c r="F236" s="221"/>
      <c r="G236" s="222"/>
    </row>
    <row r="237" spans="1:7" s="112" customFormat="1">
      <c r="A237" s="216"/>
      <c r="B237" s="217"/>
      <c r="C237" s="218"/>
      <c r="D237" s="219"/>
      <c r="E237" s="220"/>
      <c r="F237" s="221"/>
      <c r="G237" s="222"/>
    </row>
    <row r="238" spans="1:7" s="112" customFormat="1">
      <c r="A238" s="216"/>
      <c r="B238" s="217"/>
      <c r="C238" s="218"/>
      <c r="D238" s="219"/>
      <c r="E238" s="220"/>
      <c r="F238" s="221"/>
      <c r="G238" s="222"/>
    </row>
    <row r="239" spans="1:7" s="112" customFormat="1">
      <c r="A239" s="216"/>
      <c r="B239" s="217"/>
      <c r="C239" s="218"/>
      <c r="D239" s="219"/>
      <c r="E239" s="220"/>
      <c r="F239" s="221"/>
      <c r="G239" s="222"/>
    </row>
    <row r="240" spans="1:7" s="112" customFormat="1">
      <c r="A240" s="216"/>
      <c r="B240" s="217"/>
      <c r="C240" s="218"/>
      <c r="D240" s="219"/>
      <c r="E240" s="220"/>
      <c r="F240" s="221"/>
      <c r="G240" s="222"/>
    </row>
    <row r="241" spans="1:7" s="112" customFormat="1">
      <c r="A241" s="216"/>
      <c r="B241" s="217"/>
      <c r="C241" s="218"/>
      <c r="D241" s="219"/>
      <c r="E241" s="220"/>
      <c r="F241" s="221"/>
      <c r="G241" s="222"/>
    </row>
    <row r="242" spans="1:7" s="112" customFormat="1">
      <c r="A242" s="216"/>
      <c r="B242" s="217"/>
      <c r="C242" s="218"/>
      <c r="D242" s="219"/>
      <c r="E242" s="220"/>
      <c r="F242" s="221"/>
      <c r="G242" s="222"/>
    </row>
    <row r="243" spans="1:7" s="112" customFormat="1">
      <c r="A243" s="216"/>
      <c r="B243" s="217"/>
      <c r="C243" s="218"/>
      <c r="D243" s="219"/>
      <c r="E243" s="220"/>
      <c r="F243" s="221"/>
      <c r="G243" s="222"/>
    </row>
    <row r="244" spans="1:7" s="112" customFormat="1">
      <c r="A244" s="216"/>
      <c r="B244" s="217"/>
      <c r="C244" s="218"/>
      <c r="D244" s="219"/>
      <c r="E244" s="220"/>
      <c r="F244" s="221"/>
      <c r="G244" s="222"/>
    </row>
    <row r="245" spans="1:7" s="112" customFormat="1">
      <c r="A245" s="216"/>
      <c r="B245" s="217"/>
      <c r="C245" s="218"/>
      <c r="D245" s="219"/>
      <c r="E245" s="220"/>
      <c r="F245" s="221"/>
      <c r="G245" s="222"/>
    </row>
    <row r="246" spans="1:7" s="112" customFormat="1">
      <c r="A246" s="216"/>
      <c r="B246" s="217"/>
      <c r="C246" s="218"/>
      <c r="D246" s="219"/>
      <c r="E246" s="220"/>
      <c r="F246" s="221"/>
      <c r="G246" s="222"/>
    </row>
    <row r="247" spans="1:7" s="112" customFormat="1">
      <c r="A247" s="216"/>
      <c r="B247" s="217"/>
      <c r="C247" s="218"/>
      <c r="D247" s="219"/>
      <c r="E247" s="220"/>
      <c r="F247" s="221"/>
      <c r="G247" s="222"/>
    </row>
    <row r="248" spans="1:7" s="112" customFormat="1">
      <c r="A248" s="216"/>
      <c r="B248" s="217"/>
      <c r="C248" s="218"/>
      <c r="D248" s="219"/>
      <c r="E248" s="220"/>
      <c r="F248" s="221"/>
      <c r="G248" s="222"/>
    </row>
    <row r="249" spans="1:7" s="112" customFormat="1">
      <c r="A249" s="216"/>
      <c r="B249" s="217"/>
      <c r="C249" s="218"/>
      <c r="D249" s="219"/>
      <c r="E249" s="220"/>
      <c r="F249" s="221"/>
      <c r="G249" s="222"/>
    </row>
    <row r="250" spans="1:7" s="112" customFormat="1">
      <c r="A250" s="216"/>
      <c r="B250" s="217"/>
      <c r="C250" s="218"/>
      <c r="D250" s="219"/>
      <c r="E250" s="220"/>
      <c r="F250" s="221"/>
      <c r="G250" s="222"/>
    </row>
    <row r="251" spans="1:7" s="112" customFormat="1">
      <c r="A251" s="216"/>
      <c r="B251" s="217"/>
      <c r="C251" s="218"/>
      <c r="D251" s="219"/>
      <c r="E251" s="220"/>
      <c r="F251" s="221"/>
      <c r="G251" s="222"/>
    </row>
    <row r="252" spans="1:7" s="112" customFormat="1">
      <c r="A252" s="216"/>
      <c r="B252" s="217"/>
      <c r="C252" s="218"/>
      <c r="D252" s="219"/>
      <c r="E252" s="220"/>
      <c r="F252" s="221"/>
      <c r="G252" s="222"/>
    </row>
    <row r="253" spans="1:7" s="112" customFormat="1">
      <c r="A253" s="216"/>
      <c r="B253" s="217"/>
      <c r="C253" s="218"/>
      <c r="D253" s="219"/>
      <c r="E253" s="220"/>
      <c r="F253" s="221"/>
      <c r="G253" s="222"/>
    </row>
    <row r="254" spans="1:7" s="112" customFormat="1">
      <c r="A254" s="216"/>
      <c r="B254" s="217"/>
      <c r="C254" s="218"/>
      <c r="D254" s="219"/>
      <c r="E254" s="220"/>
      <c r="F254" s="221"/>
      <c r="G254" s="222"/>
    </row>
    <row r="255" spans="1:7" s="112" customFormat="1">
      <c r="A255" s="216"/>
      <c r="B255" s="217"/>
      <c r="C255" s="218"/>
      <c r="D255" s="219"/>
      <c r="E255" s="220"/>
      <c r="F255" s="221"/>
      <c r="G255" s="222"/>
    </row>
    <row r="256" spans="1:7" s="112" customFormat="1">
      <c r="A256" s="216"/>
      <c r="B256" s="217"/>
      <c r="C256" s="218"/>
      <c r="D256" s="219"/>
      <c r="E256" s="220"/>
      <c r="F256" s="221"/>
      <c r="G256" s="222"/>
    </row>
    <row r="257" spans="1:7" s="112" customFormat="1">
      <c r="A257" s="216"/>
      <c r="B257" s="217"/>
      <c r="C257" s="218"/>
      <c r="D257" s="219"/>
      <c r="E257" s="220"/>
      <c r="F257" s="221"/>
      <c r="G257" s="222"/>
    </row>
    <row r="258" spans="1:7" s="112" customFormat="1">
      <c r="A258" s="216"/>
      <c r="B258" s="217"/>
      <c r="C258" s="218"/>
      <c r="D258" s="219"/>
      <c r="E258" s="220"/>
      <c r="F258" s="221"/>
      <c r="G258" s="222"/>
    </row>
    <row r="259" spans="1:7" s="112" customFormat="1">
      <c r="A259" s="216"/>
      <c r="B259" s="217"/>
      <c r="C259" s="218"/>
      <c r="D259" s="219"/>
      <c r="E259" s="220"/>
      <c r="F259" s="221"/>
      <c r="G259" s="222"/>
    </row>
    <row r="260" spans="1:7" s="112" customFormat="1">
      <c r="A260" s="216"/>
      <c r="B260" s="217"/>
      <c r="C260" s="218"/>
      <c r="D260" s="219"/>
      <c r="E260" s="220"/>
      <c r="F260" s="221"/>
      <c r="G260" s="222"/>
    </row>
    <row r="261" spans="1:7" s="112" customFormat="1">
      <c r="A261" s="216"/>
      <c r="B261" s="217"/>
      <c r="C261" s="218"/>
      <c r="D261" s="219"/>
      <c r="E261" s="220"/>
      <c r="F261" s="221"/>
      <c r="G261" s="222"/>
    </row>
    <row r="262" spans="1:7" s="112" customFormat="1">
      <c r="A262" s="216"/>
      <c r="B262" s="217"/>
      <c r="C262" s="218"/>
      <c r="D262" s="219"/>
      <c r="E262" s="220"/>
      <c r="F262" s="221"/>
      <c r="G262" s="222"/>
    </row>
    <row r="263" spans="1:7" s="112" customFormat="1">
      <c r="A263" s="216"/>
      <c r="B263" s="217"/>
      <c r="C263" s="218"/>
      <c r="D263" s="219"/>
      <c r="E263" s="220"/>
      <c r="F263" s="221"/>
      <c r="G263" s="222"/>
    </row>
    <row r="264" spans="1:7" s="112" customFormat="1">
      <c r="A264" s="216"/>
      <c r="B264" s="217"/>
      <c r="C264" s="218"/>
      <c r="D264" s="219"/>
      <c r="E264" s="220"/>
      <c r="F264" s="221"/>
      <c r="G264" s="222"/>
    </row>
    <row r="265" spans="1:7" s="112" customFormat="1">
      <c r="A265" s="216"/>
      <c r="B265" s="217"/>
      <c r="C265" s="218"/>
      <c r="D265" s="219"/>
      <c r="E265" s="220"/>
      <c r="F265" s="221"/>
      <c r="G265" s="222"/>
    </row>
    <row r="266" spans="1:7" s="112" customFormat="1">
      <c r="A266" s="216"/>
      <c r="B266" s="217"/>
      <c r="C266" s="218"/>
      <c r="D266" s="219"/>
      <c r="E266" s="220"/>
      <c r="F266" s="221"/>
      <c r="G266" s="222"/>
    </row>
    <row r="267" spans="1:7" s="112" customFormat="1">
      <c r="A267" s="216"/>
      <c r="B267" s="217"/>
      <c r="C267" s="218"/>
      <c r="D267" s="219"/>
      <c r="E267" s="220"/>
      <c r="F267" s="221"/>
      <c r="G267" s="222"/>
    </row>
    <row r="268" spans="1:7" s="112" customFormat="1">
      <c r="A268" s="216"/>
      <c r="B268" s="217"/>
      <c r="C268" s="218"/>
      <c r="D268" s="219"/>
      <c r="E268" s="220"/>
      <c r="F268" s="221"/>
      <c r="G268" s="222"/>
    </row>
    <row r="269" spans="1:7" s="112" customFormat="1">
      <c r="A269" s="216"/>
      <c r="B269" s="217"/>
      <c r="C269" s="218"/>
      <c r="D269" s="219"/>
      <c r="E269" s="220"/>
      <c r="F269" s="221"/>
      <c r="G269" s="222"/>
    </row>
    <row r="270" spans="1:7" s="112" customFormat="1">
      <c r="A270" s="216"/>
      <c r="B270" s="217"/>
      <c r="C270" s="218"/>
      <c r="D270" s="219"/>
      <c r="E270" s="220"/>
      <c r="F270" s="221"/>
      <c r="G270" s="222"/>
    </row>
    <row r="271" spans="1:7" s="112" customFormat="1">
      <c r="A271" s="216"/>
      <c r="B271" s="217"/>
      <c r="C271" s="218"/>
      <c r="D271" s="219"/>
      <c r="E271" s="220"/>
      <c r="F271" s="221"/>
      <c r="G271" s="222"/>
    </row>
    <row r="272" spans="1:7" s="112" customFormat="1">
      <c r="A272" s="216"/>
      <c r="B272" s="217"/>
      <c r="C272" s="218"/>
      <c r="D272" s="219"/>
      <c r="E272" s="220"/>
      <c r="F272" s="221"/>
      <c r="G272" s="222"/>
    </row>
    <row r="273" spans="1:7" s="112" customFormat="1">
      <c r="A273" s="216"/>
      <c r="B273" s="217"/>
      <c r="C273" s="218"/>
      <c r="D273" s="219"/>
      <c r="E273" s="220"/>
      <c r="F273" s="221"/>
      <c r="G273" s="222"/>
    </row>
    <row r="274" spans="1:7" s="112" customFormat="1">
      <c r="A274" s="216"/>
      <c r="B274" s="217"/>
      <c r="C274" s="218"/>
      <c r="D274" s="219"/>
      <c r="E274" s="220"/>
      <c r="F274" s="221"/>
      <c r="G274" s="222"/>
    </row>
    <row r="275" spans="1:7" s="112" customFormat="1">
      <c r="A275" s="216"/>
      <c r="B275" s="217"/>
      <c r="C275" s="218"/>
      <c r="D275" s="219"/>
      <c r="E275" s="220"/>
      <c r="F275" s="221"/>
      <c r="G275" s="222"/>
    </row>
    <row r="276" spans="1:7" s="112" customFormat="1">
      <c r="A276" s="216"/>
      <c r="B276" s="217"/>
      <c r="C276" s="218"/>
      <c r="D276" s="219"/>
      <c r="E276" s="220"/>
      <c r="F276" s="221"/>
      <c r="G276" s="222"/>
    </row>
    <row r="277" spans="1:7" s="112" customFormat="1">
      <c r="A277" s="216"/>
      <c r="B277" s="217"/>
      <c r="C277" s="218"/>
      <c r="D277" s="219"/>
      <c r="E277" s="220"/>
      <c r="F277" s="221"/>
      <c r="G277" s="222"/>
    </row>
    <row r="278" spans="1:7" s="112" customFormat="1">
      <c r="A278" s="216"/>
      <c r="B278" s="217"/>
      <c r="C278" s="218"/>
      <c r="D278" s="219"/>
      <c r="E278" s="220"/>
      <c r="F278" s="221"/>
      <c r="G278" s="222"/>
    </row>
    <row r="279" spans="1:7" s="112" customFormat="1">
      <c r="A279" s="216"/>
      <c r="B279" s="217"/>
      <c r="C279" s="218"/>
      <c r="D279" s="219"/>
      <c r="E279" s="220"/>
      <c r="F279" s="221"/>
      <c r="G279" s="222"/>
    </row>
    <row r="280" spans="1:7" s="112" customFormat="1">
      <c r="A280" s="216"/>
      <c r="B280" s="217"/>
      <c r="C280" s="218"/>
      <c r="D280" s="219"/>
      <c r="E280" s="220"/>
      <c r="F280" s="221"/>
      <c r="G280" s="222"/>
    </row>
    <row r="281" spans="1:7" s="112" customFormat="1">
      <c r="A281" s="216"/>
      <c r="B281" s="217"/>
      <c r="C281" s="218"/>
      <c r="D281" s="219"/>
      <c r="E281" s="220"/>
      <c r="F281" s="221"/>
      <c r="G281" s="222"/>
    </row>
    <row r="282" spans="1:7" s="112" customFormat="1">
      <c r="A282" s="216"/>
      <c r="B282" s="217"/>
      <c r="C282" s="218"/>
      <c r="D282" s="219"/>
      <c r="E282" s="220"/>
      <c r="F282" s="221"/>
      <c r="G282" s="222"/>
    </row>
    <row r="283" spans="1:7" s="112" customFormat="1">
      <c r="A283" s="216"/>
      <c r="B283" s="217"/>
      <c r="C283" s="218"/>
      <c r="D283" s="219"/>
      <c r="E283" s="220"/>
      <c r="F283" s="221"/>
      <c r="G283" s="222"/>
    </row>
    <row r="284" spans="1:7" s="112" customFormat="1">
      <c r="A284" s="216"/>
      <c r="B284" s="217"/>
      <c r="C284" s="218"/>
      <c r="D284" s="219"/>
      <c r="E284" s="220"/>
      <c r="F284" s="221"/>
      <c r="G284" s="222"/>
    </row>
    <row r="285" spans="1:7" s="112" customFormat="1">
      <c r="A285" s="216"/>
      <c r="B285" s="217"/>
      <c r="C285" s="218"/>
      <c r="D285" s="219"/>
      <c r="E285" s="220"/>
      <c r="F285" s="221"/>
      <c r="G285" s="222"/>
    </row>
    <row r="286" spans="1:7" s="112" customFormat="1">
      <c r="A286" s="216"/>
      <c r="B286" s="217"/>
      <c r="C286" s="218"/>
      <c r="D286" s="219"/>
      <c r="E286" s="220"/>
      <c r="F286" s="221"/>
      <c r="G286" s="222"/>
    </row>
    <row r="287" spans="1:7" s="112" customFormat="1">
      <c r="A287" s="216"/>
      <c r="B287" s="217"/>
      <c r="C287" s="218"/>
      <c r="D287" s="219"/>
      <c r="E287" s="220"/>
      <c r="F287" s="221"/>
      <c r="G287" s="222"/>
    </row>
    <row r="288" spans="1:7" s="112" customFormat="1">
      <c r="A288" s="216"/>
      <c r="B288" s="217"/>
      <c r="C288" s="218"/>
      <c r="D288" s="219"/>
      <c r="E288" s="220"/>
      <c r="F288" s="221"/>
      <c r="G288" s="222"/>
    </row>
    <row r="289" spans="1:7" s="112" customFormat="1">
      <c r="A289" s="216"/>
      <c r="B289" s="217"/>
      <c r="C289" s="218"/>
      <c r="D289" s="219"/>
      <c r="E289" s="220"/>
      <c r="F289" s="221"/>
      <c r="G289" s="222"/>
    </row>
    <row r="290" spans="1:7" s="112" customFormat="1">
      <c r="A290" s="216"/>
      <c r="B290" s="217"/>
      <c r="C290" s="218"/>
      <c r="D290" s="219"/>
      <c r="E290" s="220"/>
      <c r="F290" s="221"/>
      <c r="G290" s="222"/>
    </row>
    <row r="291" spans="1:7" s="112" customFormat="1">
      <c r="A291" s="216"/>
      <c r="B291" s="217"/>
      <c r="C291" s="218"/>
      <c r="D291" s="219"/>
      <c r="E291" s="220"/>
      <c r="F291" s="221"/>
      <c r="G291" s="222"/>
    </row>
    <row r="292" spans="1:7" s="112" customFormat="1">
      <c r="A292" s="216"/>
      <c r="B292" s="217"/>
      <c r="C292" s="218"/>
      <c r="D292" s="219"/>
      <c r="E292" s="220"/>
      <c r="F292" s="221"/>
      <c r="G292" s="222"/>
    </row>
    <row r="293" spans="1:7" s="112" customFormat="1">
      <c r="A293" s="216"/>
      <c r="B293" s="217"/>
      <c r="C293" s="218"/>
      <c r="D293" s="219"/>
      <c r="E293" s="220"/>
      <c r="F293" s="221"/>
      <c r="G293" s="222"/>
    </row>
    <row r="294" spans="1:7" s="112" customFormat="1">
      <c r="A294" s="216"/>
      <c r="B294" s="217"/>
      <c r="C294" s="218"/>
      <c r="D294" s="219"/>
      <c r="E294" s="220"/>
      <c r="F294" s="221"/>
      <c r="G294" s="222"/>
    </row>
    <row r="295" spans="1:7" s="112" customFormat="1">
      <c r="A295" s="216"/>
      <c r="B295" s="217"/>
      <c r="C295" s="218"/>
      <c r="D295" s="219"/>
      <c r="E295" s="220"/>
      <c r="F295" s="221"/>
      <c r="G295" s="222"/>
    </row>
    <row r="296" spans="1:7" s="112" customFormat="1">
      <c r="A296" s="216"/>
      <c r="B296" s="217"/>
      <c r="C296" s="218"/>
      <c r="D296" s="219"/>
      <c r="E296" s="220"/>
      <c r="F296" s="221"/>
      <c r="G296" s="222"/>
    </row>
    <row r="297" spans="1:7" s="112" customFormat="1">
      <c r="A297" s="216"/>
      <c r="B297" s="217"/>
      <c r="C297" s="218"/>
      <c r="D297" s="219"/>
      <c r="E297" s="220"/>
      <c r="F297" s="221"/>
      <c r="G297" s="222"/>
    </row>
    <row r="298" spans="1:7" s="112" customFormat="1">
      <c r="A298" s="216"/>
      <c r="B298" s="217"/>
      <c r="C298" s="218"/>
      <c r="D298" s="219"/>
      <c r="E298" s="220"/>
      <c r="F298" s="221"/>
      <c r="G298" s="222"/>
    </row>
    <row r="299" spans="1:7" s="112" customFormat="1">
      <c r="A299" s="216"/>
      <c r="B299" s="217"/>
      <c r="C299" s="218"/>
      <c r="D299" s="219"/>
      <c r="E299" s="220"/>
      <c r="F299" s="221"/>
      <c r="G299" s="222"/>
    </row>
    <row r="300" spans="1:7" s="112" customFormat="1">
      <c r="A300" s="216"/>
      <c r="B300" s="217"/>
      <c r="C300" s="218"/>
      <c r="D300" s="219"/>
      <c r="E300" s="220"/>
      <c r="F300" s="221"/>
      <c r="G300" s="222"/>
    </row>
    <row r="301" spans="1:7" s="112" customFormat="1">
      <c r="A301" s="216"/>
      <c r="B301" s="217"/>
      <c r="C301" s="218"/>
      <c r="D301" s="219"/>
      <c r="E301" s="220"/>
      <c r="F301" s="221"/>
      <c r="G301" s="222"/>
    </row>
    <row r="302" spans="1:7" s="112" customFormat="1">
      <c r="A302" s="216"/>
      <c r="B302" s="217"/>
      <c r="C302" s="218"/>
      <c r="D302" s="219"/>
      <c r="E302" s="220"/>
      <c r="F302" s="221"/>
      <c r="G302" s="222"/>
    </row>
    <row r="303" spans="1:7" s="112" customFormat="1">
      <c r="A303" s="216"/>
      <c r="B303" s="217"/>
      <c r="C303" s="218"/>
      <c r="D303" s="219"/>
      <c r="E303" s="220"/>
      <c r="F303" s="221"/>
      <c r="G303" s="222"/>
    </row>
    <row r="304" spans="1:7" s="112" customFormat="1">
      <c r="A304" s="216"/>
      <c r="B304" s="217"/>
      <c r="C304" s="218"/>
      <c r="D304" s="219"/>
      <c r="E304" s="220"/>
      <c r="F304" s="221"/>
      <c r="G304" s="222"/>
    </row>
    <row r="305" spans="1:7" s="112" customFormat="1">
      <c r="A305" s="216"/>
      <c r="B305" s="217"/>
      <c r="C305" s="218"/>
      <c r="D305" s="219"/>
      <c r="E305" s="220"/>
      <c r="F305" s="221"/>
      <c r="G305" s="222"/>
    </row>
    <row r="306" spans="1:7" s="112" customFormat="1">
      <c r="A306" s="216"/>
      <c r="B306" s="217"/>
      <c r="C306" s="218"/>
      <c r="D306" s="219"/>
      <c r="E306" s="220"/>
      <c r="F306" s="221"/>
      <c r="G306" s="222"/>
    </row>
    <row r="307" spans="1:7" s="112" customFormat="1">
      <c r="A307" s="216"/>
      <c r="B307" s="217"/>
      <c r="C307" s="218"/>
      <c r="D307" s="219"/>
      <c r="E307" s="220"/>
      <c r="F307" s="221"/>
      <c r="G307" s="222"/>
    </row>
    <row r="308" spans="1:7" s="112" customFormat="1">
      <c r="A308" s="216"/>
      <c r="B308" s="217"/>
      <c r="C308" s="218"/>
      <c r="D308" s="219"/>
      <c r="E308" s="220"/>
      <c r="F308" s="221"/>
      <c r="G308" s="222"/>
    </row>
    <row r="309" spans="1:7" s="112" customFormat="1">
      <c r="A309" s="216"/>
      <c r="B309" s="217"/>
      <c r="C309" s="218"/>
      <c r="D309" s="219"/>
      <c r="E309" s="220"/>
      <c r="F309" s="221"/>
      <c r="G309" s="222"/>
    </row>
    <row r="310" spans="1:7" s="112" customFormat="1">
      <c r="A310" s="216"/>
      <c r="B310" s="217"/>
      <c r="C310" s="218"/>
      <c r="D310" s="219"/>
      <c r="E310" s="220"/>
      <c r="F310" s="221"/>
      <c r="G310" s="222"/>
    </row>
    <row r="311" spans="1:7" s="112" customFormat="1">
      <c r="A311" s="216"/>
      <c r="B311" s="217"/>
      <c r="C311" s="218"/>
      <c r="D311" s="219"/>
      <c r="E311" s="220"/>
      <c r="F311" s="221"/>
      <c r="G311" s="222"/>
    </row>
    <row r="312" spans="1:7" s="112" customFormat="1">
      <c r="A312" s="216"/>
      <c r="B312" s="217"/>
      <c r="C312" s="218"/>
      <c r="D312" s="219"/>
      <c r="E312" s="220"/>
      <c r="F312" s="221"/>
      <c r="G312" s="222"/>
    </row>
    <row r="313" spans="1:7" s="112" customFormat="1">
      <c r="A313" s="216"/>
      <c r="B313" s="217"/>
      <c r="C313" s="218"/>
      <c r="D313" s="219"/>
      <c r="E313" s="220"/>
      <c r="F313" s="221"/>
      <c r="G313" s="222"/>
    </row>
    <row r="314" spans="1:7" s="112" customFormat="1">
      <c r="A314" s="216"/>
      <c r="B314" s="217"/>
      <c r="C314" s="218"/>
      <c r="D314" s="219"/>
      <c r="E314" s="220"/>
      <c r="F314" s="221"/>
      <c r="G314" s="222"/>
    </row>
    <row r="315" spans="1:7" s="112" customFormat="1">
      <c r="A315" s="216"/>
      <c r="B315" s="217"/>
      <c r="C315" s="218"/>
      <c r="D315" s="219"/>
      <c r="E315" s="220"/>
      <c r="F315" s="221"/>
      <c r="G315" s="222"/>
    </row>
    <row r="316" spans="1:7" s="112" customFormat="1">
      <c r="A316" s="216"/>
      <c r="B316" s="217"/>
      <c r="C316" s="218"/>
      <c r="D316" s="219"/>
      <c r="E316" s="220"/>
      <c r="F316" s="221"/>
      <c r="G316" s="222"/>
    </row>
    <row r="317" spans="1:7" s="112" customFormat="1">
      <c r="A317" s="216"/>
      <c r="B317" s="217"/>
      <c r="C317" s="218"/>
      <c r="D317" s="219"/>
      <c r="E317" s="220"/>
      <c r="F317" s="221"/>
      <c r="G317" s="222"/>
    </row>
    <row r="318" spans="1:7" s="112" customFormat="1">
      <c r="A318" s="216"/>
      <c r="B318" s="217"/>
      <c r="C318" s="218"/>
      <c r="D318" s="219"/>
      <c r="E318" s="220"/>
      <c r="F318" s="221"/>
      <c r="G318" s="222"/>
    </row>
    <row r="319" spans="1:7" s="112" customFormat="1">
      <c r="A319" s="216"/>
      <c r="B319" s="217"/>
      <c r="C319" s="218"/>
      <c r="D319" s="219"/>
      <c r="E319" s="220"/>
      <c r="F319" s="221"/>
      <c r="G319" s="222"/>
    </row>
    <row r="320" spans="1:7" s="112" customFormat="1">
      <c r="A320" s="216"/>
      <c r="B320" s="217"/>
      <c r="C320" s="218"/>
      <c r="D320" s="219"/>
      <c r="E320" s="220"/>
      <c r="F320" s="221"/>
      <c r="G320" s="222"/>
    </row>
    <row r="321" spans="1:7" s="112" customFormat="1">
      <c r="A321" s="216"/>
      <c r="B321" s="217"/>
      <c r="C321" s="218"/>
      <c r="D321" s="219"/>
      <c r="E321" s="220"/>
      <c r="F321" s="221"/>
      <c r="G321" s="222"/>
    </row>
    <row r="322" spans="1:7" s="112" customFormat="1">
      <c r="A322" s="216"/>
      <c r="B322" s="217"/>
      <c r="C322" s="218"/>
      <c r="D322" s="219"/>
      <c r="E322" s="220"/>
      <c r="F322" s="221"/>
      <c r="G322" s="222"/>
    </row>
    <row r="323" spans="1:7" s="112" customFormat="1">
      <c r="A323" s="216"/>
      <c r="B323" s="217"/>
      <c r="C323" s="218"/>
      <c r="D323" s="219"/>
      <c r="E323" s="220"/>
      <c r="F323" s="221"/>
      <c r="G323" s="222"/>
    </row>
    <row r="324" spans="1:7" s="112" customFormat="1">
      <c r="A324" s="216"/>
      <c r="B324" s="217"/>
      <c r="C324" s="218"/>
      <c r="D324" s="219"/>
      <c r="E324" s="220"/>
      <c r="F324" s="221"/>
      <c r="G324" s="222"/>
    </row>
    <row r="325" spans="1:7" s="112" customFormat="1">
      <c r="A325" s="216"/>
      <c r="B325" s="217"/>
      <c r="C325" s="218"/>
      <c r="D325" s="219"/>
      <c r="E325" s="220"/>
      <c r="F325" s="221"/>
      <c r="G325" s="222"/>
    </row>
    <row r="326" spans="1:7" s="112" customFormat="1">
      <c r="A326" s="216"/>
      <c r="B326" s="217"/>
      <c r="C326" s="218"/>
      <c r="D326" s="219"/>
      <c r="E326" s="220"/>
      <c r="F326" s="221"/>
      <c r="G326" s="222"/>
    </row>
    <row r="327" spans="1:7" s="112" customFormat="1">
      <c r="A327" s="216"/>
      <c r="B327" s="217"/>
      <c r="C327" s="218"/>
      <c r="D327" s="219"/>
      <c r="E327" s="220"/>
      <c r="F327" s="221"/>
      <c r="G327" s="222"/>
    </row>
    <row r="328" spans="1:7" s="112" customFormat="1">
      <c r="A328" s="216"/>
      <c r="B328" s="217"/>
      <c r="C328" s="218"/>
      <c r="D328" s="219"/>
      <c r="E328" s="220"/>
      <c r="F328" s="221"/>
      <c r="G328" s="222"/>
    </row>
    <row r="329" spans="1:7" s="112" customFormat="1">
      <c r="A329" s="216"/>
      <c r="B329" s="217"/>
      <c r="C329" s="218"/>
      <c r="D329" s="219"/>
      <c r="E329" s="220"/>
      <c r="F329" s="221"/>
      <c r="G329" s="222"/>
    </row>
    <row r="330" spans="1:7" s="112" customFormat="1">
      <c r="A330" s="216"/>
      <c r="B330" s="217"/>
      <c r="C330" s="218"/>
      <c r="D330" s="219"/>
      <c r="E330" s="220"/>
      <c r="F330" s="221"/>
      <c r="G330" s="222"/>
    </row>
    <row r="331" spans="1:7" s="112" customFormat="1">
      <c r="A331" s="216"/>
      <c r="B331" s="217"/>
      <c r="C331" s="218"/>
      <c r="D331" s="219"/>
      <c r="E331" s="220"/>
      <c r="F331" s="221"/>
      <c r="G331" s="222"/>
    </row>
    <row r="332" spans="1:7" s="112" customFormat="1">
      <c r="A332" s="216"/>
      <c r="B332" s="217"/>
      <c r="C332" s="218"/>
      <c r="D332" s="219"/>
      <c r="E332" s="220"/>
      <c r="F332" s="221"/>
      <c r="G332" s="222"/>
    </row>
    <row r="333" spans="1:7" s="112" customFormat="1">
      <c r="A333" s="216"/>
      <c r="B333" s="217"/>
      <c r="C333" s="218"/>
      <c r="D333" s="219"/>
      <c r="E333" s="220"/>
      <c r="F333" s="221"/>
      <c r="G333" s="222"/>
    </row>
    <row r="334" spans="1:7" s="112" customFormat="1">
      <c r="A334" s="216"/>
      <c r="B334" s="217"/>
      <c r="C334" s="218"/>
      <c r="D334" s="219"/>
      <c r="E334" s="220"/>
      <c r="F334" s="221"/>
      <c r="G334" s="222"/>
    </row>
    <row r="335" spans="1:7" s="112" customFormat="1">
      <c r="A335" s="216"/>
      <c r="B335" s="217"/>
      <c r="C335" s="218"/>
      <c r="D335" s="219"/>
      <c r="E335" s="220"/>
      <c r="F335" s="221"/>
      <c r="G335" s="222"/>
    </row>
    <row r="336" spans="1:7" s="112" customFormat="1">
      <c r="A336" s="216"/>
      <c r="B336" s="217"/>
      <c r="C336" s="218"/>
      <c r="D336" s="219"/>
      <c r="E336" s="220"/>
      <c r="F336" s="221"/>
      <c r="G336" s="222"/>
    </row>
    <row r="337" spans="1:7" s="112" customFormat="1">
      <c r="A337" s="216"/>
      <c r="B337" s="217"/>
      <c r="C337" s="218"/>
      <c r="D337" s="219"/>
      <c r="E337" s="220"/>
      <c r="F337" s="221"/>
      <c r="G337" s="222"/>
    </row>
    <row r="338" spans="1:7" s="112" customFormat="1">
      <c r="A338" s="216"/>
      <c r="B338" s="217"/>
      <c r="C338" s="218"/>
      <c r="D338" s="219"/>
      <c r="E338" s="220"/>
      <c r="F338" s="221"/>
      <c r="G338" s="222"/>
    </row>
    <row r="339" spans="1:7" s="112" customFormat="1">
      <c r="A339" s="216"/>
      <c r="B339" s="217"/>
      <c r="C339" s="218"/>
      <c r="D339" s="219"/>
      <c r="E339" s="220"/>
      <c r="F339" s="221"/>
      <c r="G339" s="222"/>
    </row>
    <row r="340" spans="1:7" s="112" customFormat="1">
      <c r="A340" s="216"/>
      <c r="B340" s="217"/>
      <c r="C340" s="218"/>
      <c r="D340" s="219"/>
      <c r="E340" s="220"/>
      <c r="F340" s="221"/>
      <c r="G340" s="222"/>
    </row>
    <row r="341" spans="1:7" s="112" customFormat="1">
      <c r="A341" s="216"/>
      <c r="B341" s="217"/>
      <c r="C341" s="218"/>
      <c r="D341" s="219"/>
      <c r="E341" s="220"/>
      <c r="F341" s="221"/>
      <c r="G341" s="222"/>
    </row>
    <row r="342" spans="1:7" s="112" customFormat="1">
      <c r="A342" s="216"/>
      <c r="B342" s="217"/>
      <c r="C342" s="218"/>
      <c r="D342" s="219"/>
      <c r="E342" s="220"/>
      <c r="F342" s="221"/>
      <c r="G342" s="222"/>
    </row>
    <row r="343" spans="1:7" s="112" customFormat="1">
      <c r="A343" s="216"/>
      <c r="B343" s="217"/>
      <c r="C343" s="218"/>
      <c r="D343" s="219"/>
      <c r="E343" s="220"/>
      <c r="F343" s="221"/>
      <c r="G343" s="222"/>
    </row>
    <row r="344" spans="1:7" s="112" customFormat="1">
      <c r="A344" s="216"/>
      <c r="B344" s="217"/>
      <c r="C344" s="218"/>
      <c r="D344" s="219"/>
      <c r="E344" s="220"/>
      <c r="F344" s="221"/>
      <c r="G344" s="222"/>
    </row>
    <row r="345" spans="1:7" s="112" customFormat="1">
      <c r="A345" s="216"/>
      <c r="B345" s="217"/>
      <c r="C345" s="218"/>
      <c r="D345" s="219"/>
      <c r="E345" s="220"/>
      <c r="F345" s="221"/>
      <c r="G345" s="222"/>
    </row>
    <row r="346" spans="1:7" s="112" customFormat="1">
      <c r="A346" s="216"/>
      <c r="B346" s="217"/>
      <c r="C346" s="218"/>
      <c r="D346" s="219"/>
      <c r="E346" s="220"/>
      <c r="F346" s="221"/>
      <c r="G346" s="222"/>
    </row>
    <row r="347" spans="1:7" s="112" customFormat="1">
      <c r="A347" s="216"/>
      <c r="B347" s="217"/>
      <c r="C347" s="218"/>
      <c r="D347" s="219"/>
      <c r="E347" s="220"/>
      <c r="F347" s="221"/>
      <c r="G347" s="222"/>
    </row>
    <row r="348" spans="1:7" s="112" customFormat="1">
      <c r="A348" s="216"/>
      <c r="B348" s="217"/>
      <c r="C348" s="218"/>
      <c r="D348" s="219"/>
      <c r="E348" s="220"/>
      <c r="F348" s="221"/>
      <c r="G348" s="222"/>
    </row>
    <row r="349" spans="1:7" s="112" customFormat="1">
      <c r="A349" s="216"/>
      <c r="B349" s="217"/>
      <c r="C349" s="218"/>
      <c r="D349" s="219"/>
      <c r="E349" s="220"/>
      <c r="F349" s="221"/>
      <c r="G349" s="222"/>
    </row>
    <row r="350" spans="1:7" s="112" customFormat="1">
      <c r="A350" s="216"/>
      <c r="B350" s="217"/>
      <c r="C350" s="218"/>
      <c r="D350" s="219"/>
      <c r="E350" s="220"/>
      <c r="F350" s="221"/>
      <c r="G350" s="222"/>
    </row>
    <row r="351" spans="1:7" s="112" customFormat="1">
      <c r="A351" s="216"/>
      <c r="B351" s="217"/>
      <c r="C351" s="218"/>
      <c r="D351" s="219"/>
      <c r="E351" s="220"/>
      <c r="F351" s="221"/>
      <c r="G351" s="222"/>
    </row>
    <row r="352" spans="1:7" s="112" customFormat="1">
      <c r="A352" s="216"/>
      <c r="B352" s="217"/>
      <c r="C352" s="218"/>
      <c r="D352" s="219"/>
      <c r="E352" s="220"/>
      <c r="F352" s="221"/>
      <c r="G352" s="222"/>
    </row>
    <row r="353" spans="1:7" s="112" customFormat="1">
      <c r="A353" s="216"/>
      <c r="B353" s="217"/>
      <c r="C353" s="218"/>
      <c r="D353" s="219"/>
      <c r="E353" s="220"/>
      <c r="F353" s="221"/>
      <c r="G353" s="222"/>
    </row>
    <row r="354" spans="1:7" s="112" customFormat="1">
      <c r="A354" s="216"/>
      <c r="B354" s="217"/>
      <c r="C354" s="218"/>
      <c r="D354" s="219"/>
      <c r="E354" s="220"/>
      <c r="F354" s="221"/>
      <c r="G354" s="222"/>
    </row>
    <row r="355" spans="1:7" s="112" customFormat="1">
      <c r="A355" s="216"/>
      <c r="B355" s="217"/>
      <c r="C355" s="218"/>
      <c r="D355" s="219"/>
      <c r="E355" s="220"/>
      <c r="F355" s="221"/>
      <c r="G355" s="222"/>
    </row>
    <row r="356" spans="1:7" s="112" customFormat="1">
      <c r="A356" s="216"/>
      <c r="B356" s="217"/>
      <c r="C356" s="218"/>
      <c r="D356" s="219"/>
      <c r="E356" s="220"/>
      <c r="F356" s="221"/>
      <c r="G356" s="222"/>
    </row>
    <row r="357" spans="1:7" s="112" customFormat="1">
      <c r="A357" s="216"/>
      <c r="B357" s="217"/>
      <c r="C357" s="218"/>
      <c r="D357" s="219"/>
      <c r="E357" s="220"/>
      <c r="F357" s="221"/>
      <c r="G357" s="222"/>
    </row>
    <row r="358" spans="1:7" s="112" customFormat="1">
      <c r="A358" s="216"/>
      <c r="B358" s="217"/>
      <c r="C358" s="218"/>
      <c r="D358" s="219"/>
      <c r="E358" s="220"/>
      <c r="F358" s="221"/>
      <c r="G358" s="222"/>
    </row>
    <row r="359" spans="1:7" s="112" customFormat="1">
      <c r="A359" s="216"/>
      <c r="B359" s="217"/>
      <c r="C359" s="218"/>
      <c r="D359" s="219"/>
      <c r="E359" s="220"/>
      <c r="F359" s="221"/>
      <c r="G359" s="222"/>
    </row>
    <row r="360" spans="1:7" s="112" customFormat="1">
      <c r="A360" s="216"/>
      <c r="B360" s="217"/>
      <c r="C360" s="218"/>
      <c r="D360" s="219"/>
      <c r="E360" s="220"/>
      <c r="F360" s="221"/>
      <c r="G360" s="222"/>
    </row>
    <row r="361" spans="1:7" s="112" customFormat="1">
      <c r="A361" s="216"/>
      <c r="B361" s="217"/>
      <c r="C361" s="218"/>
      <c r="D361" s="219"/>
      <c r="E361" s="220"/>
      <c r="F361" s="221"/>
      <c r="G361" s="222"/>
    </row>
    <row r="362" spans="1:7" s="112" customFormat="1">
      <c r="A362" s="216"/>
      <c r="B362" s="217"/>
      <c r="C362" s="218"/>
      <c r="D362" s="219"/>
      <c r="E362" s="220"/>
      <c r="F362" s="221"/>
      <c r="G362" s="222"/>
    </row>
    <row r="363" spans="1:7" s="112" customFormat="1">
      <c r="A363" s="216"/>
      <c r="B363" s="217"/>
      <c r="C363" s="218"/>
      <c r="D363" s="219"/>
      <c r="E363" s="220"/>
      <c r="F363" s="221"/>
      <c r="G363" s="222"/>
    </row>
    <row r="364" spans="1:7" s="112" customFormat="1">
      <c r="A364" s="216"/>
      <c r="B364" s="217"/>
      <c r="C364" s="218"/>
      <c r="D364" s="219"/>
      <c r="E364" s="220"/>
      <c r="F364" s="221"/>
      <c r="G364" s="222"/>
    </row>
    <row r="365" spans="1:7" s="112" customFormat="1">
      <c r="A365" s="216"/>
      <c r="B365" s="217"/>
      <c r="C365" s="218"/>
      <c r="D365" s="219"/>
      <c r="E365" s="220"/>
      <c r="F365" s="221"/>
      <c r="G365" s="222"/>
    </row>
    <row r="366" spans="1:7" s="112" customFormat="1">
      <c r="A366" s="216"/>
      <c r="B366" s="217"/>
      <c r="C366" s="218"/>
      <c r="D366" s="219"/>
      <c r="E366" s="220"/>
      <c r="F366" s="221"/>
      <c r="G366" s="222"/>
    </row>
    <row r="367" spans="1:7" s="112" customFormat="1">
      <c r="A367" s="216"/>
      <c r="B367" s="217"/>
      <c r="C367" s="218"/>
      <c r="D367" s="219"/>
      <c r="E367" s="220"/>
      <c r="F367" s="221"/>
      <c r="G367" s="222"/>
    </row>
    <row r="368" spans="1:7" s="112" customFormat="1">
      <c r="A368" s="216"/>
      <c r="B368" s="217"/>
      <c r="C368" s="218"/>
      <c r="D368" s="219"/>
      <c r="E368" s="220"/>
      <c r="F368" s="221"/>
      <c r="G368" s="222"/>
    </row>
    <row r="369" spans="1:7" s="112" customFormat="1">
      <c r="A369" s="216"/>
      <c r="B369" s="217"/>
      <c r="C369" s="218"/>
      <c r="D369" s="219"/>
      <c r="E369" s="220"/>
      <c r="F369" s="221"/>
      <c r="G369" s="222"/>
    </row>
    <row r="370" spans="1:7" s="112" customFormat="1">
      <c r="A370" s="216"/>
      <c r="B370" s="217"/>
      <c r="C370" s="218"/>
      <c r="D370" s="219"/>
      <c r="E370" s="220"/>
      <c r="F370" s="221"/>
      <c r="G370" s="222"/>
    </row>
    <row r="371" spans="1:7" s="112" customFormat="1">
      <c r="A371" s="216"/>
      <c r="B371" s="217"/>
      <c r="C371" s="218"/>
      <c r="D371" s="219"/>
      <c r="E371" s="220"/>
      <c r="F371" s="221"/>
      <c r="G371" s="222"/>
    </row>
    <row r="372" spans="1:7" s="112" customFormat="1">
      <c r="A372" s="216"/>
      <c r="B372" s="217"/>
      <c r="C372" s="218"/>
      <c r="D372" s="219"/>
      <c r="E372" s="220"/>
      <c r="F372" s="221"/>
      <c r="G372" s="222"/>
    </row>
    <row r="373" spans="1:7" s="112" customFormat="1">
      <c r="A373" s="216"/>
      <c r="B373" s="217"/>
      <c r="C373" s="218"/>
      <c r="D373" s="219"/>
      <c r="E373" s="220"/>
      <c r="F373" s="221"/>
      <c r="G373" s="222"/>
    </row>
    <row r="374" spans="1:7" s="112" customFormat="1">
      <c r="A374" s="216"/>
      <c r="B374" s="217"/>
      <c r="C374" s="218"/>
      <c r="D374" s="219"/>
      <c r="E374" s="220"/>
      <c r="F374" s="221"/>
      <c r="G374" s="222"/>
    </row>
    <row r="375" spans="1:7" s="112" customFormat="1">
      <c r="A375" s="216"/>
      <c r="B375" s="217"/>
      <c r="C375" s="218"/>
      <c r="D375" s="219"/>
      <c r="E375" s="220"/>
      <c r="F375" s="221"/>
      <c r="G375" s="222"/>
    </row>
    <row r="376" spans="1:7" s="112" customFormat="1">
      <c r="A376" s="216"/>
      <c r="B376" s="217"/>
      <c r="C376" s="218"/>
      <c r="D376" s="219"/>
      <c r="E376" s="220"/>
      <c r="F376" s="221"/>
      <c r="G376" s="222"/>
    </row>
    <row r="377" spans="1:7" s="112" customFormat="1">
      <c r="A377" s="216"/>
      <c r="B377" s="217"/>
      <c r="C377" s="218"/>
      <c r="D377" s="219"/>
      <c r="E377" s="220"/>
      <c r="F377" s="221"/>
      <c r="G377" s="222"/>
    </row>
    <row r="378" spans="1:7" s="112" customFormat="1">
      <c r="A378" s="216"/>
      <c r="B378" s="217"/>
      <c r="C378" s="218"/>
      <c r="D378" s="219"/>
      <c r="E378" s="220"/>
      <c r="F378" s="221"/>
      <c r="G378" s="222"/>
    </row>
    <row r="379" spans="1:7" s="112" customFormat="1">
      <c r="A379" s="216"/>
      <c r="B379" s="217"/>
      <c r="C379" s="218"/>
      <c r="D379" s="219"/>
      <c r="E379" s="220"/>
      <c r="F379" s="221"/>
      <c r="G379" s="222"/>
    </row>
    <row r="380" spans="1:7" s="112" customFormat="1">
      <c r="A380" s="216"/>
      <c r="B380" s="217"/>
      <c r="C380" s="218"/>
      <c r="D380" s="219"/>
      <c r="E380" s="220"/>
      <c r="F380" s="221"/>
      <c r="G380" s="222"/>
    </row>
    <row r="381" spans="1:7" s="112" customFormat="1">
      <c r="A381" s="216"/>
      <c r="B381" s="217"/>
      <c r="C381" s="218"/>
      <c r="D381" s="219"/>
      <c r="E381" s="220"/>
      <c r="F381" s="221"/>
      <c r="G381" s="222"/>
    </row>
    <row r="382" spans="1:7" s="112" customFormat="1">
      <c r="A382" s="216"/>
      <c r="B382" s="217"/>
      <c r="C382" s="218"/>
      <c r="D382" s="219"/>
      <c r="E382" s="220"/>
      <c r="F382" s="221"/>
      <c r="G382" s="222"/>
    </row>
    <row r="383" spans="1:7" s="112" customFormat="1">
      <c r="A383" s="216"/>
      <c r="B383" s="217"/>
      <c r="C383" s="218"/>
      <c r="D383" s="219"/>
      <c r="E383" s="220"/>
      <c r="F383" s="221"/>
      <c r="G383" s="222"/>
    </row>
    <row r="384" spans="1:7" s="112" customFormat="1">
      <c r="A384" s="216"/>
      <c r="B384" s="217"/>
      <c r="C384" s="218"/>
      <c r="D384" s="219"/>
      <c r="E384" s="220"/>
      <c r="F384" s="221"/>
      <c r="G384" s="222"/>
    </row>
    <row r="385" spans="1:7" s="112" customFormat="1">
      <c r="A385" s="216"/>
      <c r="B385" s="217"/>
      <c r="C385" s="218"/>
      <c r="D385" s="219"/>
      <c r="E385" s="220"/>
      <c r="F385" s="221"/>
      <c r="G385" s="222"/>
    </row>
    <row r="386" spans="1:7" s="112" customFormat="1">
      <c r="A386" s="216"/>
      <c r="B386" s="217"/>
      <c r="C386" s="218"/>
      <c r="D386" s="219"/>
      <c r="E386" s="220"/>
      <c r="F386" s="221"/>
      <c r="G386" s="222"/>
    </row>
    <row r="387" spans="1:7" s="112" customFormat="1">
      <c r="A387" s="216"/>
      <c r="B387" s="217"/>
      <c r="C387" s="218"/>
      <c r="D387" s="219"/>
      <c r="E387" s="220"/>
      <c r="F387" s="221"/>
      <c r="G387" s="222"/>
    </row>
    <row r="388" spans="1:7" s="112" customFormat="1">
      <c r="A388" s="216"/>
      <c r="B388" s="217"/>
      <c r="C388" s="218"/>
      <c r="D388" s="219"/>
      <c r="E388" s="220"/>
      <c r="F388" s="221"/>
      <c r="G388" s="222"/>
    </row>
    <row r="389" spans="1:7" s="112" customFormat="1">
      <c r="A389" s="216"/>
      <c r="B389" s="217"/>
      <c r="C389" s="218"/>
      <c r="D389" s="219"/>
      <c r="E389" s="220"/>
      <c r="F389" s="221"/>
      <c r="G389" s="222"/>
    </row>
    <row r="390" spans="1:7" s="112" customFormat="1">
      <c r="A390" s="216"/>
      <c r="B390" s="217"/>
      <c r="C390" s="218"/>
      <c r="D390" s="219"/>
      <c r="E390" s="220"/>
      <c r="F390" s="221"/>
      <c r="G390" s="222"/>
    </row>
    <row r="391" spans="1:7" s="112" customFormat="1">
      <c r="A391" s="216"/>
      <c r="B391" s="217"/>
      <c r="C391" s="218"/>
      <c r="D391" s="219"/>
      <c r="E391" s="220"/>
      <c r="F391" s="221"/>
      <c r="G391" s="222"/>
    </row>
    <row r="392" spans="1:7" s="112" customFormat="1">
      <c r="A392" s="216"/>
      <c r="B392" s="217"/>
      <c r="C392" s="218"/>
      <c r="D392" s="219"/>
      <c r="E392" s="220"/>
      <c r="F392" s="221"/>
      <c r="G392" s="222"/>
    </row>
    <row r="393" spans="1:7" s="112" customFormat="1">
      <c r="A393" s="216"/>
      <c r="B393" s="217"/>
      <c r="C393" s="218"/>
      <c r="D393" s="219"/>
      <c r="E393" s="220"/>
      <c r="F393" s="221"/>
      <c r="G393" s="222"/>
    </row>
    <row r="394" spans="1:7" s="112" customFormat="1">
      <c r="A394" s="216"/>
      <c r="B394" s="217"/>
      <c r="C394" s="218"/>
      <c r="D394" s="219"/>
      <c r="E394" s="220"/>
      <c r="F394" s="221"/>
      <c r="G394" s="222"/>
    </row>
    <row r="395" spans="1:7" s="112" customFormat="1">
      <c r="A395" s="216"/>
      <c r="B395" s="217"/>
      <c r="C395" s="218"/>
      <c r="D395" s="219"/>
      <c r="E395" s="220"/>
      <c r="F395" s="221"/>
      <c r="G395" s="222"/>
    </row>
    <row r="396" spans="1:7" s="112" customFormat="1">
      <c r="A396" s="216"/>
      <c r="B396" s="217"/>
      <c r="C396" s="218"/>
      <c r="D396" s="219"/>
      <c r="E396" s="220"/>
      <c r="F396" s="221"/>
      <c r="G396" s="222"/>
    </row>
    <row r="397" spans="1:7" s="112" customFormat="1">
      <c r="A397" s="216"/>
      <c r="B397" s="217"/>
      <c r="C397" s="218"/>
      <c r="D397" s="219"/>
      <c r="E397" s="220"/>
      <c r="F397" s="221"/>
      <c r="G397" s="222"/>
    </row>
    <row r="398" spans="1:7" s="112" customFormat="1">
      <c r="A398" s="216"/>
      <c r="B398" s="217"/>
      <c r="C398" s="218"/>
      <c r="D398" s="219"/>
      <c r="E398" s="220"/>
      <c r="F398" s="221"/>
      <c r="G398" s="222"/>
    </row>
    <row r="399" spans="1:7" s="112" customFormat="1">
      <c r="A399" s="216"/>
      <c r="B399" s="217"/>
      <c r="C399" s="218"/>
      <c r="D399" s="219"/>
      <c r="E399" s="220"/>
      <c r="F399" s="221"/>
      <c r="G399" s="222"/>
    </row>
    <row r="400" spans="1:7" s="112" customFormat="1">
      <c r="A400" s="216"/>
      <c r="B400" s="217"/>
      <c r="C400" s="218"/>
      <c r="D400" s="219"/>
      <c r="E400" s="220"/>
      <c r="F400" s="221"/>
      <c r="G400" s="222"/>
    </row>
    <row r="401" spans="1:7" s="112" customFormat="1">
      <c r="A401" s="216"/>
      <c r="B401" s="217"/>
      <c r="C401" s="218"/>
      <c r="D401" s="219"/>
      <c r="E401" s="220"/>
      <c r="F401" s="221"/>
      <c r="G401" s="222"/>
    </row>
    <row r="402" spans="1:7" s="112" customFormat="1">
      <c r="A402" s="216"/>
      <c r="B402" s="217"/>
      <c r="C402" s="218"/>
      <c r="D402" s="219"/>
      <c r="E402" s="220"/>
      <c r="F402" s="221"/>
      <c r="G402" s="222"/>
    </row>
    <row r="403" spans="1:7" s="112" customFormat="1">
      <c r="A403" s="216"/>
      <c r="B403" s="217"/>
      <c r="C403" s="218"/>
      <c r="D403" s="219"/>
      <c r="E403" s="220"/>
      <c r="F403" s="221"/>
      <c r="G403" s="222"/>
    </row>
    <row r="404" spans="1:7" s="112" customFormat="1">
      <c r="A404" s="216"/>
      <c r="B404" s="217"/>
      <c r="C404" s="218"/>
      <c r="D404" s="219"/>
      <c r="E404" s="220"/>
      <c r="F404" s="221"/>
      <c r="G404" s="222"/>
    </row>
    <row r="405" spans="1:7" s="112" customFormat="1">
      <c r="A405" s="216"/>
      <c r="B405" s="217"/>
      <c r="C405" s="218"/>
      <c r="D405" s="219"/>
      <c r="E405" s="220"/>
      <c r="F405" s="221"/>
      <c r="G405" s="222"/>
    </row>
    <row r="406" spans="1:7" s="112" customFormat="1">
      <c r="A406" s="216"/>
      <c r="B406" s="217"/>
      <c r="C406" s="218"/>
      <c r="D406" s="219"/>
      <c r="E406" s="220"/>
      <c r="F406" s="221"/>
      <c r="G406" s="222"/>
    </row>
    <row r="407" spans="1:7" s="112" customFormat="1">
      <c r="A407" s="216"/>
      <c r="B407" s="217"/>
      <c r="C407" s="218"/>
      <c r="D407" s="219"/>
      <c r="E407" s="220"/>
      <c r="F407" s="221"/>
      <c r="G407" s="222"/>
    </row>
    <row r="408" spans="1:7" s="112" customFormat="1">
      <c r="A408" s="216"/>
      <c r="B408" s="217"/>
      <c r="C408" s="218"/>
      <c r="D408" s="219"/>
      <c r="E408" s="220"/>
      <c r="F408" s="221"/>
      <c r="G408" s="222"/>
    </row>
    <row r="409" spans="1:7" s="112" customFormat="1">
      <c r="A409" s="216"/>
      <c r="B409" s="217"/>
      <c r="C409" s="218"/>
      <c r="D409" s="219"/>
      <c r="E409" s="220"/>
      <c r="F409" s="221"/>
      <c r="G409" s="222"/>
    </row>
    <row r="410" spans="1:7" s="112" customFormat="1">
      <c r="A410" s="216"/>
      <c r="B410" s="217"/>
      <c r="C410" s="218"/>
      <c r="D410" s="219"/>
      <c r="E410" s="220"/>
      <c r="F410" s="221"/>
      <c r="G410" s="222"/>
    </row>
    <row r="411" spans="1:7" s="112" customFormat="1">
      <c r="A411" s="216"/>
      <c r="B411" s="217"/>
      <c r="C411" s="218"/>
      <c r="D411" s="219"/>
      <c r="E411" s="220"/>
      <c r="F411" s="221"/>
      <c r="G411" s="222"/>
    </row>
    <row r="412" spans="1:7" s="112" customFormat="1">
      <c r="A412" s="216"/>
      <c r="B412" s="217"/>
      <c r="C412" s="218"/>
      <c r="D412" s="219"/>
      <c r="E412" s="220"/>
      <c r="F412" s="221"/>
      <c r="G412" s="222"/>
    </row>
    <row r="413" spans="1:7" s="112" customFormat="1">
      <c r="A413" s="216"/>
      <c r="B413" s="217"/>
      <c r="C413" s="218"/>
      <c r="D413" s="219"/>
      <c r="E413" s="220"/>
      <c r="F413" s="221"/>
      <c r="G413" s="222"/>
    </row>
    <row r="414" spans="1:7" s="112" customFormat="1">
      <c r="A414" s="216"/>
      <c r="B414" s="217"/>
      <c r="C414" s="218"/>
      <c r="D414" s="219"/>
      <c r="E414" s="220"/>
      <c r="F414" s="221"/>
      <c r="G414" s="222"/>
    </row>
    <row r="415" spans="1:7" s="112" customFormat="1">
      <c r="A415" s="216"/>
      <c r="B415" s="217"/>
      <c r="C415" s="218"/>
      <c r="D415" s="219"/>
      <c r="E415" s="220"/>
      <c r="F415" s="221"/>
      <c r="G415" s="222"/>
    </row>
    <row r="416" spans="1:7" s="112" customFormat="1">
      <c r="A416" s="216"/>
      <c r="B416" s="217"/>
      <c r="C416" s="218"/>
      <c r="D416" s="219"/>
      <c r="E416" s="220"/>
      <c r="F416" s="221"/>
      <c r="G416" s="222"/>
    </row>
    <row r="417" spans="1:7" s="112" customFormat="1">
      <c r="A417" s="216"/>
      <c r="B417" s="217"/>
      <c r="C417" s="218"/>
      <c r="D417" s="219"/>
      <c r="E417" s="220"/>
      <c r="F417" s="221"/>
      <c r="G417" s="222"/>
    </row>
    <row r="418" spans="1:7" s="112" customFormat="1">
      <c r="A418" s="216"/>
      <c r="B418" s="217"/>
      <c r="C418" s="218"/>
      <c r="D418" s="219"/>
      <c r="E418" s="220"/>
      <c r="F418" s="221"/>
      <c r="G418" s="222"/>
    </row>
    <row r="419" spans="1:7" s="112" customFormat="1">
      <c r="A419" s="216"/>
      <c r="B419" s="217"/>
      <c r="C419" s="218"/>
      <c r="D419" s="219"/>
      <c r="E419" s="220"/>
      <c r="F419" s="221"/>
      <c r="G419" s="222"/>
    </row>
    <row r="420" spans="1:7" s="112" customFormat="1">
      <c r="A420" s="216"/>
      <c r="B420" s="217"/>
      <c r="C420" s="218"/>
      <c r="D420" s="219"/>
      <c r="E420" s="220"/>
      <c r="F420" s="221"/>
      <c r="G420" s="222"/>
    </row>
    <row r="421" spans="1:7" s="112" customFormat="1">
      <c r="A421" s="216"/>
      <c r="B421" s="217"/>
      <c r="C421" s="218"/>
      <c r="D421" s="219"/>
      <c r="E421" s="220"/>
      <c r="F421" s="221"/>
      <c r="G421" s="222"/>
    </row>
    <row r="422" spans="1:7" s="112" customFormat="1">
      <c r="A422" s="216"/>
      <c r="B422" s="217"/>
      <c r="C422" s="218"/>
      <c r="D422" s="219"/>
      <c r="E422" s="220"/>
      <c r="F422" s="221"/>
      <c r="G422" s="222"/>
    </row>
    <row r="423" spans="1:7" s="112" customFormat="1">
      <c r="A423" s="216"/>
      <c r="B423" s="217"/>
      <c r="C423" s="218"/>
      <c r="D423" s="219"/>
      <c r="E423" s="220"/>
      <c r="F423" s="221"/>
      <c r="G423" s="222"/>
    </row>
    <row r="424" spans="1:7" s="112" customFormat="1">
      <c r="A424" s="216"/>
      <c r="B424" s="217"/>
      <c r="C424" s="218"/>
      <c r="D424" s="219"/>
      <c r="E424" s="220"/>
      <c r="F424" s="221"/>
      <c r="G424" s="222"/>
    </row>
    <row r="425" spans="1:7" s="112" customFormat="1">
      <c r="A425" s="216"/>
      <c r="B425" s="217"/>
      <c r="C425" s="218"/>
      <c r="D425" s="219"/>
      <c r="E425" s="220"/>
      <c r="F425" s="221"/>
      <c r="G425" s="222"/>
    </row>
    <row r="426" spans="1:7" s="112" customFormat="1">
      <c r="A426" s="216"/>
      <c r="B426" s="217"/>
      <c r="C426" s="218"/>
      <c r="D426" s="219"/>
      <c r="E426" s="220"/>
      <c r="F426" s="221"/>
      <c r="G426" s="222"/>
    </row>
    <row r="427" spans="1:7" s="112" customFormat="1">
      <c r="A427" s="216"/>
      <c r="B427" s="217"/>
      <c r="C427" s="218"/>
      <c r="D427" s="219"/>
      <c r="E427" s="220"/>
      <c r="F427" s="221"/>
      <c r="G427" s="222"/>
    </row>
    <row r="428" spans="1:7" s="112" customFormat="1">
      <c r="A428" s="216"/>
      <c r="B428" s="217"/>
      <c r="C428" s="218"/>
      <c r="D428" s="219"/>
      <c r="E428" s="220"/>
      <c r="F428" s="221"/>
      <c r="G428" s="222"/>
    </row>
    <row r="429" spans="1:7" s="112" customFormat="1">
      <c r="A429" s="216"/>
      <c r="B429" s="217"/>
      <c r="C429" s="218"/>
      <c r="D429" s="219"/>
      <c r="E429" s="220"/>
      <c r="F429" s="221"/>
      <c r="G429" s="222"/>
    </row>
    <row r="430" spans="1:7" s="112" customFormat="1">
      <c r="A430" s="216"/>
      <c r="B430" s="217"/>
      <c r="C430" s="218"/>
      <c r="D430" s="219"/>
      <c r="E430" s="220"/>
      <c r="F430" s="221"/>
      <c r="G430" s="222"/>
    </row>
    <row r="431" spans="1:7" s="112" customFormat="1">
      <c r="A431" s="216"/>
      <c r="B431" s="217"/>
      <c r="C431" s="218"/>
      <c r="D431" s="219"/>
      <c r="E431" s="220"/>
      <c r="F431" s="221"/>
      <c r="G431" s="222"/>
    </row>
    <row r="432" spans="1:7" s="112" customFormat="1">
      <c r="A432" s="216"/>
      <c r="B432" s="217"/>
      <c r="C432" s="218"/>
      <c r="D432" s="219"/>
      <c r="E432" s="220"/>
      <c r="F432" s="221"/>
      <c r="G432" s="222"/>
    </row>
    <row r="433" spans="1:7" s="112" customFormat="1">
      <c r="A433" s="216"/>
      <c r="B433" s="217"/>
      <c r="C433" s="218"/>
      <c r="D433" s="219"/>
      <c r="E433" s="220"/>
      <c r="F433" s="221"/>
      <c r="G433" s="222"/>
    </row>
    <row r="434" spans="1:7" s="112" customFormat="1">
      <c r="A434" s="216"/>
      <c r="B434" s="217"/>
      <c r="C434" s="218"/>
      <c r="D434" s="219"/>
      <c r="E434" s="220"/>
      <c r="F434" s="221"/>
      <c r="G434" s="222"/>
    </row>
    <row r="435" spans="1:7" s="112" customFormat="1">
      <c r="A435" s="216"/>
      <c r="B435" s="217"/>
      <c r="C435" s="218"/>
      <c r="D435" s="219"/>
      <c r="E435" s="220"/>
      <c r="F435" s="221"/>
      <c r="G435" s="222"/>
    </row>
    <row r="436" spans="1:7" s="112" customFormat="1">
      <c r="A436" s="216"/>
      <c r="B436" s="217"/>
      <c r="C436" s="218"/>
      <c r="D436" s="219"/>
      <c r="E436" s="220"/>
      <c r="F436" s="221"/>
      <c r="G436" s="222"/>
    </row>
    <row r="437" spans="1:7" s="112" customFormat="1">
      <c r="A437" s="216"/>
      <c r="B437" s="217"/>
      <c r="C437" s="218"/>
      <c r="D437" s="219"/>
      <c r="E437" s="220"/>
      <c r="F437" s="221"/>
      <c r="G437" s="222"/>
    </row>
    <row r="438" spans="1:7" s="112" customFormat="1">
      <c r="A438" s="216"/>
      <c r="B438" s="217"/>
      <c r="C438" s="218"/>
      <c r="D438" s="219"/>
      <c r="E438" s="220"/>
      <c r="F438" s="221"/>
      <c r="G438" s="222"/>
    </row>
    <row r="439" spans="1:7" s="112" customFormat="1">
      <c r="A439" s="216"/>
      <c r="B439" s="217"/>
      <c r="C439" s="218"/>
      <c r="D439" s="219"/>
      <c r="E439" s="220"/>
      <c r="F439" s="221"/>
      <c r="G439" s="222"/>
    </row>
    <row r="440" spans="1:7" s="112" customFormat="1">
      <c r="A440" s="216"/>
      <c r="B440" s="217"/>
      <c r="C440" s="218"/>
      <c r="D440" s="219"/>
      <c r="E440" s="220"/>
      <c r="F440" s="221"/>
      <c r="G440" s="222"/>
    </row>
    <row r="441" spans="1:7" s="112" customFormat="1">
      <c r="A441" s="216"/>
      <c r="B441" s="217"/>
      <c r="C441" s="218"/>
      <c r="D441" s="219"/>
      <c r="E441" s="220"/>
      <c r="F441" s="221"/>
      <c r="G441" s="222"/>
    </row>
    <row r="442" spans="1:7" s="112" customFormat="1">
      <c r="A442" s="216"/>
      <c r="B442" s="217"/>
      <c r="C442" s="218"/>
      <c r="D442" s="219"/>
      <c r="E442" s="220"/>
      <c r="F442" s="221"/>
      <c r="G442" s="222"/>
    </row>
    <row r="443" spans="1:7" s="112" customFormat="1">
      <c r="A443" s="216"/>
      <c r="B443" s="217"/>
      <c r="C443" s="218"/>
      <c r="D443" s="219"/>
      <c r="E443" s="220"/>
      <c r="F443" s="221"/>
      <c r="G443" s="222"/>
    </row>
    <row r="444" spans="1:7" s="112" customFormat="1">
      <c r="A444" s="216"/>
      <c r="B444" s="217"/>
      <c r="C444" s="218"/>
      <c r="D444" s="219"/>
      <c r="E444" s="220"/>
      <c r="F444" s="221"/>
      <c r="G444" s="222"/>
    </row>
    <row r="445" spans="1:7" s="112" customFormat="1">
      <c r="A445" s="216"/>
      <c r="B445" s="217"/>
      <c r="C445" s="218"/>
      <c r="D445" s="219"/>
      <c r="E445" s="220"/>
      <c r="F445" s="221"/>
      <c r="G445" s="222"/>
    </row>
    <row r="446" spans="1:7" s="112" customFormat="1">
      <c r="A446" s="216"/>
      <c r="B446" s="217"/>
      <c r="C446" s="218"/>
      <c r="D446" s="219"/>
      <c r="E446" s="220"/>
      <c r="F446" s="221"/>
      <c r="G446" s="222"/>
    </row>
    <row r="447" spans="1:7" s="112" customFormat="1">
      <c r="A447" s="216"/>
      <c r="B447" s="217"/>
      <c r="C447" s="218"/>
      <c r="D447" s="219"/>
      <c r="E447" s="220"/>
      <c r="F447" s="221"/>
      <c r="G447" s="222"/>
    </row>
    <row r="448" spans="1:7" s="112" customFormat="1">
      <c r="A448" s="216"/>
      <c r="B448" s="217"/>
      <c r="C448" s="218"/>
      <c r="D448" s="219"/>
      <c r="E448" s="220"/>
      <c r="F448" s="221"/>
      <c r="G448" s="222"/>
    </row>
    <row r="449" spans="1:7" s="112" customFormat="1">
      <c r="A449" s="216"/>
      <c r="B449" s="217"/>
      <c r="C449" s="218"/>
      <c r="D449" s="219"/>
      <c r="E449" s="220"/>
      <c r="F449" s="221"/>
      <c r="G449" s="222"/>
    </row>
    <row r="450" spans="1:7" s="112" customFormat="1">
      <c r="A450" s="216"/>
      <c r="B450" s="217"/>
      <c r="C450" s="218"/>
      <c r="D450" s="219"/>
      <c r="E450" s="220"/>
      <c r="F450" s="221"/>
      <c r="G450" s="222"/>
    </row>
    <row r="451" spans="1:7" s="112" customFormat="1">
      <c r="A451" s="216"/>
      <c r="B451" s="217"/>
      <c r="C451" s="218"/>
      <c r="D451" s="219"/>
      <c r="E451" s="220"/>
      <c r="F451" s="221"/>
      <c r="G451" s="222"/>
    </row>
    <row r="452" spans="1:7" s="112" customFormat="1">
      <c r="A452" s="216"/>
      <c r="B452" s="217"/>
      <c r="C452" s="218"/>
      <c r="D452" s="219"/>
      <c r="E452" s="220"/>
      <c r="F452" s="221"/>
      <c r="G452" s="222"/>
    </row>
    <row r="453" spans="1:7" s="112" customFormat="1">
      <c r="A453" s="216"/>
      <c r="B453" s="217"/>
      <c r="C453" s="218"/>
      <c r="D453" s="219"/>
      <c r="E453" s="220"/>
      <c r="F453" s="221"/>
      <c r="G453" s="222"/>
    </row>
    <row r="454" spans="1:7" s="112" customFormat="1">
      <c r="A454" s="216"/>
      <c r="B454" s="217"/>
      <c r="C454" s="218"/>
      <c r="D454" s="219"/>
      <c r="E454" s="220"/>
      <c r="F454" s="221"/>
      <c r="G454" s="222"/>
    </row>
    <row r="455" spans="1:7" s="112" customFormat="1">
      <c r="A455" s="216"/>
      <c r="B455" s="217"/>
      <c r="C455" s="218"/>
      <c r="D455" s="219"/>
      <c r="E455" s="220"/>
      <c r="F455" s="221"/>
      <c r="G455" s="222"/>
    </row>
    <row r="456" spans="1:7" s="112" customFormat="1">
      <c r="A456" s="216"/>
      <c r="B456" s="217"/>
      <c r="C456" s="218"/>
      <c r="D456" s="219"/>
      <c r="E456" s="220"/>
      <c r="F456" s="221"/>
      <c r="G456" s="222"/>
    </row>
    <row r="457" spans="1:7" s="112" customFormat="1">
      <c r="A457" s="216"/>
      <c r="B457" s="217"/>
      <c r="C457" s="218"/>
      <c r="D457" s="219"/>
      <c r="E457" s="220"/>
      <c r="F457" s="221"/>
      <c r="G457" s="222"/>
    </row>
    <row r="458" spans="1:7" s="112" customFormat="1">
      <c r="A458" s="216"/>
      <c r="B458" s="217"/>
      <c r="C458" s="218"/>
      <c r="D458" s="219"/>
      <c r="E458" s="220"/>
      <c r="F458" s="221"/>
      <c r="G458" s="222"/>
    </row>
    <row r="459" spans="1:7" s="112" customFormat="1">
      <c r="A459" s="216"/>
      <c r="B459" s="217"/>
      <c r="C459" s="218"/>
      <c r="D459" s="219"/>
      <c r="E459" s="220"/>
      <c r="F459" s="221"/>
      <c r="G459" s="222"/>
    </row>
    <row r="460" spans="1:7" s="112" customFormat="1">
      <c r="A460" s="216"/>
      <c r="B460" s="217"/>
      <c r="C460" s="218"/>
      <c r="D460" s="219"/>
      <c r="E460" s="220"/>
      <c r="F460" s="221"/>
      <c r="G460" s="222"/>
    </row>
    <row r="461" spans="1:7" s="112" customFormat="1">
      <c r="A461" s="216"/>
      <c r="B461" s="217"/>
      <c r="C461" s="218"/>
      <c r="D461" s="219"/>
      <c r="E461" s="220"/>
      <c r="F461" s="221"/>
      <c r="G461" s="222"/>
    </row>
    <row r="462" spans="1:7" s="112" customFormat="1">
      <c r="A462" s="216"/>
      <c r="B462" s="217"/>
      <c r="C462" s="218"/>
      <c r="D462" s="219"/>
      <c r="E462" s="220"/>
      <c r="F462" s="221"/>
      <c r="G462" s="222"/>
    </row>
    <row r="463" spans="1:7" s="112" customFormat="1">
      <c r="A463" s="216"/>
      <c r="B463" s="217"/>
      <c r="C463" s="218"/>
      <c r="D463" s="219"/>
      <c r="E463" s="220"/>
      <c r="F463" s="221"/>
      <c r="G463" s="222"/>
    </row>
    <row r="464" spans="1:7" s="112" customFormat="1">
      <c r="A464" s="216"/>
      <c r="B464" s="217"/>
      <c r="C464" s="218"/>
      <c r="D464" s="219"/>
      <c r="E464" s="220"/>
      <c r="F464" s="221"/>
      <c r="G464" s="222"/>
    </row>
    <row r="465" spans="1:7" s="112" customFormat="1">
      <c r="A465" s="216"/>
      <c r="B465" s="217"/>
      <c r="C465" s="218"/>
      <c r="D465" s="219"/>
      <c r="E465" s="220"/>
      <c r="F465" s="221"/>
      <c r="G465" s="222"/>
    </row>
    <row r="466" spans="1:7" s="112" customFormat="1">
      <c r="A466" s="216"/>
      <c r="B466" s="217"/>
      <c r="C466" s="218"/>
      <c r="D466" s="219"/>
      <c r="E466" s="220"/>
      <c r="F466" s="221"/>
      <c r="G466" s="222"/>
    </row>
    <row r="467" spans="1:7" s="112" customFormat="1">
      <c r="A467" s="216"/>
      <c r="B467" s="217"/>
      <c r="C467" s="218"/>
      <c r="D467" s="219"/>
      <c r="E467" s="220"/>
      <c r="F467" s="221"/>
      <c r="G467" s="222"/>
    </row>
    <row r="468" spans="1:7" s="112" customFormat="1">
      <c r="A468" s="216"/>
      <c r="B468" s="217"/>
      <c r="C468" s="218"/>
      <c r="D468" s="219"/>
      <c r="E468" s="220"/>
      <c r="F468" s="221"/>
      <c r="G468" s="222"/>
    </row>
    <row r="469" spans="1:7" s="112" customFormat="1">
      <c r="A469" s="216"/>
      <c r="B469" s="217"/>
      <c r="C469" s="218"/>
      <c r="D469" s="219"/>
      <c r="E469" s="220"/>
      <c r="F469" s="221"/>
      <c r="G469" s="222"/>
    </row>
    <row r="470" spans="1:7" s="112" customFormat="1">
      <c r="A470" s="216"/>
      <c r="B470" s="217"/>
      <c r="C470" s="218"/>
      <c r="D470" s="219"/>
      <c r="E470" s="220"/>
      <c r="F470" s="221"/>
      <c r="G470" s="222"/>
    </row>
    <row r="471" spans="1:7" s="112" customFormat="1">
      <c r="A471" s="216"/>
      <c r="B471" s="217"/>
      <c r="C471" s="218"/>
      <c r="D471" s="219"/>
      <c r="E471" s="220"/>
      <c r="F471" s="221"/>
      <c r="G471" s="222"/>
    </row>
    <row r="472" spans="1:7" s="112" customFormat="1">
      <c r="A472" s="216"/>
      <c r="B472" s="217"/>
      <c r="C472" s="218"/>
      <c r="D472" s="219"/>
      <c r="E472" s="220"/>
      <c r="F472" s="221"/>
      <c r="G472" s="222"/>
    </row>
    <row r="473" spans="1:7" s="112" customFormat="1">
      <c r="A473" s="216"/>
      <c r="B473" s="217"/>
      <c r="C473" s="218"/>
      <c r="D473" s="219"/>
      <c r="E473" s="220"/>
      <c r="F473" s="221"/>
      <c r="G473" s="222"/>
    </row>
    <row r="474" spans="1:7" s="112" customFormat="1">
      <c r="A474" s="216"/>
      <c r="B474" s="217"/>
      <c r="C474" s="218"/>
      <c r="D474" s="219"/>
      <c r="E474" s="220"/>
      <c r="F474" s="221"/>
      <c r="G474" s="222"/>
    </row>
    <row r="475" spans="1:7" s="112" customFormat="1">
      <c r="A475" s="216"/>
      <c r="B475" s="217"/>
      <c r="C475" s="218"/>
      <c r="D475" s="219"/>
      <c r="E475" s="220"/>
      <c r="F475" s="221"/>
      <c r="G475" s="222"/>
    </row>
    <row r="476" spans="1:7" s="112" customFormat="1">
      <c r="A476" s="216"/>
      <c r="B476" s="217"/>
      <c r="C476" s="218"/>
      <c r="D476" s="219"/>
      <c r="E476" s="220"/>
      <c r="F476" s="221"/>
      <c r="G476" s="222"/>
    </row>
    <row r="477" spans="1:7" s="112" customFormat="1">
      <c r="A477" s="216"/>
      <c r="B477" s="217"/>
      <c r="C477" s="218"/>
      <c r="D477" s="219"/>
      <c r="E477" s="220"/>
      <c r="F477" s="221"/>
      <c r="G477" s="222"/>
    </row>
    <row r="478" spans="1:7" s="112" customFormat="1">
      <c r="A478" s="216"/>
      <c r="B478" s="217"/>
      <c r="C478" s="218"/>
      <c r="D478" s="219"/>
      <c r="E478" s="220"/>
      <c r="F478" s="221"/>
      <c r="G478" s="222"/>
    </row>
    <row r="479" spans="1:7" s="112" customFormat="1">
      <c r="A479" s="216"/>
      <c r="B479" s="217"/>
      <c r="C479" s="218"/>
      <c r="D479" s="219"/>
      <c r="E479" s="220"/>
      <c r="F479" s="221"/>
      <c r="G479" s="222"/>
    </row>
    <row r="480" spans="1:7" s="112" customFormat="1">
      <c r="A480" s="216"/>
      <c r="B480" s="217"/>
      <c r="C480" s="218"/>
      <c r="D480" s="219"/>
      <c r="E480" s="220"/>
      <c r="F480" s="221"/>
      <c r="G480" s="222"/>
    </row>
    <row r="481" spans="1:8" s="112" customFormat="1">
      <c r="A481" s="216"/>
      <c r="B481" s="217"/>
      <c r="C481" s="218"/>
      <c r="D481" s="219"/>
      <c r="E481" s="220"/>
      <c r="F481" s="221"/>
      <c r="G481" s="222"/>
    </row>
    <row r="482" spans="1:8" s="112" customFormat="1">
      <c r="A482" s="216"/>
      <c r="B482" s="217"/>
      <c r="C482" s="218"/>
      <c r="D482" s="219"/>
      <c r="E482" s="220"/>
      <c r="F482" s="221"/>
      <c r="G482" s="222"/>
    </row>
    <row r="483" spans="1:8" s="112" customFormat="1">
      <c r="A483" s="216"/>
      <c r="B483" s="217"/>
      <c r="C483" s="218"/>
      <c r="D483" s="219"/>
      <c r="E483" s="220"/>
      <c r="F483" s="221"/>
      <c r="G483" s="222"/>
    </row>
    <row r="484" spans="1:8" s="112" customFormat="1">
      <c r="A484" s="216"/>
      <c r="B484" s="217"/>
      <c r="C484" s="218"/>
      <c r="D484" s="219"/>
      <c r="E484" s="220"/>
      <c r="F484" s="221"/>
      <c r="G484" s="222"/>
    </row>
    <row r="485" spans="1:8" s="112" customFormat="1">
      <c r="A485" s="216"/>
      <c r="B485" s="217"/>
      <c r="C485" s="218"/>
      <c r="D485" s="219"/>
      <c r="E485" s="220"/>
      <c r="F485" s="221"/>
      <c r="G485" s="222"/>
    </row>
    <row r="486" spans="1:8" s="112" customFormat="1">
      <c r="A486" s="216"/>
      <c r="B486" s="217"/>
      <c r="C486" s="218"/>
      <c r="D486" s="219"/>
      <c r="E486" s="220"/>
      <c r="F486" s="221"/>
      <c r="G486" s="222"/>
    </row>
    <row r="487" spans="1:8" s="112" customFormat="1">
      <c r="A487" s="216"/>
      <c r="B487" s="217"/>
      <c r="C487" s="218"/>
      <c r="D487" s="219"/>
      <c r="E487" s="220"/>
      <c r="F487" s="221"/>
      <c r="G487" s="222"/>
    </row>
    <row r="488" spans="1:8" s="112" customFormat="1">
      <c r="A488" s="216"/>
      <c r="B488" s="217"/>
      <c r="C488" s="218"/>
      <c r="D488" s="219"/>
      <c r="E488" s="220"/>
      <c r="F488" s="221"/>
      <c r="G488" s="222"/>
    </row>
    <row r="489" spans="1:8" s="112" customFormat="1">
      <c r="A489" s="216"/>
      <c r="B489" s="217"/>
      <c r="C489" s="218"/>
      <c r="D489" s="219"/>
      <c r="E489" s="220"/>
      <c r="F489" s="221"/>
      <c r="G489" s="222"/>
    </row>
    <row r="490" spans="1:8" s="112" customFormat="1">
      <c r="A490" s="216"/>
      <c r="B490" s="217"/>
      <c r="C490" s="218"/>
      <c r="D490" s="219"/>
      <c r="E490" s="220"/>
      <c r="F490" s="221"/>
      <c r="G490" s="222"/>
    </row>
    <row r="491" spans="1:8" s="112" customFormat="1">
      <c r="A491" s="216"/>
      <c r="B491" s="217"/>
      <c r="C491" s="218"/>
      <c r="D491" s="219"/>
      <c r="E491" s="220"/>
      <c r="F491" s="221"/>
      <c r="G491" s="222"/>
    </row>
    <row r="492" spans="1:8" s="112" customFormat="1">
      <c r="A492" s="216"/>
      <c r="B492" s="217"/>
      <c r="C492" s="218"/>
      <c r="D492" s="219"/>
      <c r="E492" s="220"/>
      <c r="F492" s="221"/>
      <c r="G492" s="222"/>
    </row>
    <row r="493" spans="1:8">
      <c r="B493" s="217"/>
      <c r="C493" s="218"/>
      <c r="D493" s="219"/>
      <c r="E493" s="220"/>
      <c r="F493" s="221"/>
      <c r="G493" s="222"/>
      <c r="H493" s="112"/>
    </row>
    <row r="494" spans="1:8">
      <c r="B494" s="217"/>
      <c r="C494" s="218"/>
      <c r="D494" s="219"/>
      <c r="E494" s="220"/>
      <c r="F494" s="221"/>
      <c r="G494" s="222"/>
      <c r="H494" s="112"/>
    </row>
    <row r="495" spans="1:8">
      <c r="B495" s="217"/>
      <c r="C495" s="218"/>
      <c r="D495" s="219"/>
      <c r="E495" s="220"/>
      <c r="F495" s="221"/>
      <c r="G495" s="222"/>
      <c r="H495" s="112"/>
    </row>
    <row r="496" spans="1:8">
      <c r="B496" s="217"/>
      <c r="C496" s="218"/>
      <c r="D496" s="219"/>
      <c r="E496" s="220"/>
      <c r="F496" s="221"/>
      <c r="G496" s="222"/>
      <c r="H496" s="112"/>
    </row>
    <row r="497" spans="2:8">
      <c r="B497" s="217"/>
      <c r="C497" s="218"/>
      <c r="D497" s="219"/>
      <c r="E497" s="220"/>
      <c r="F497" s="221"/>
      <c r="G497" s="222"/>
      <c r="H497" s="112"/>
    </row>
    <row r="498" spans="2:8">
      <c r="B498" s="217"/>
      <c r="C498" s="218"/>
      <c r="D498" s="219"/>
      <c r="E498" s="220"/>
      <c r="F498" s="221"/>
    </row>
  </sheetData>
  <autoFilter ref="B2:K2"/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N498"/>
  <sheetViews>
    <sheetView view="pageBreakPreview" workbookViewId="0">
      <selection activeCell="L4" sqref="L4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875" style="269" customWidth="1"/>
    <col min="6" max="6" width="9" style="64" customWidth="1"/>
    <col min="7" max="7" width="9" style="225" customWidth="1"/>
    <col min="8" max="8" width="9" style="9" customWidth="1"/>
    <col min="9" max="9" width="7.375" style="9" customWidth="1"/>
    <col min="10" max="10" width="7.125" style="9" customWidth="1"/>
    <col min="11" max="11" width="7.25" style="9" customWidth="1"/>
    <col min="12" max="12" width="12.5" style="9" customWidth="1"/>
    <col min="13" max="13" width="13" style="9" customWidth="1"/>
    <col min="14" max="16384" width="9" style="9"/>
  </cols>
  <sheetData>
    <row r="1" spans="1:14" s="145" customFormat="1" ht="37.5" customHeight="1" thickBot="1">
      <c r="A1" s="30"/>
      <c r="B1" s="63" t="s">
        <v>163</v>
      </c>
      <c r="C1" s="314" t="s">
        <v>368</v>
      </c>
      <c r="D1" s="315"/>
      <c r="E1" s="256"/>
      <c r="F1" s="66"/>
      <c r="G1" s="54" t="s">
        <v>164</v>
      </c>
      <c r="H1"/>
      <c r="I1" s="145" t="s">
        <v>165</v>
      </c>
      <c r="J1" s="145" t="s">
        <v>166</v>
      </c>
      <c r="K1"/>
    </row>
    <row r="2" spans="1:14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  <c r="L2" s="149" t="s">
        <v>156</v>
      </c>
      <c r="M2" s="149" t="s">
        <v>157</v>
      </c>
      <c r="N2" s="149" t="s">
        <v>158</v>
      </c>
    </row>
    <row r="3" spans="1:14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I3" s="163"/>
      <c r="J3" s="164"/>
      <c r="K3" s="163"/>
      <c r="L3" s="111" t="e">
        <f>ROUNDDOWN(IF((1/G3)&gt;10,10,1/G3),1)</f>
        <v>#DIV/0!</v>
      </c>
      <c r="M3" s="111">
        <f t="shared" ref="M3:M66" si="0">IF(I3="",G3*J3,G3*J3/I3)</f>
        <v>0</v>
      </c>
      <c r="N3" s="111" t="str">
        <f>IF(ROUNDDOWN(M3*20,0)=0,"-", ROUNDDOWN(M3*20,0))</f>
        <v>-</v>
      </c>
    </row>
    <row r="4" spans="1:14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I4" s="163"/>
      <c r="J4" s="164"/>
      <c r="K4" s="163"/>
      <c r="L4" s="111" t="e">
        <f t="shared" ref="L4:L67" si="1">ROUNDDOWN(IF((1/G4)&gt;10,10,1/G4),1)</f>
        <v>#DIV/0!</v>
      </c>
      <c r="M4" s="111">
        <f t="shared" si="0"/>
        <v>0</v>
      </c>
      <c r="N4" s="111" t="str">
        <f t="shared" ref="N4:N67" si="2">IF(ROUNDDOWN(M4*20,0)=0,"-", ROUNDDOWN(M4*20,0))</f>
        <v>-</v>
      </c>
    </row>
    <row r="5" spans="1:14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I5" s="163"/>
      <c r="J5" s="164"/>
      <c r="K5" s="163"/>
      <c r="L5" s="111" t="e">
        <f t="shared" si="1"/>
        <v>#DIV/0!</v>
      </c>
      <c r="M5" s="111">
        <f t="shared" si="0"/>
        <v>0</v>
      </c>
      <c r="N5" s="111" t="str">
        <f t="shared" si="2"/>
        <v>-</v>
      </c>
    </row>
    <row r="6" spans="1:14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I6" s="163"/>
      <c r="J6" s="164"/>
      <c r="K6" s="163"/>
      <c r="L6" s="111" t="e">
        <f t="shared" si="1"/>
        <v>#DIV/0!</v>
      </c>
      <c r="M6" s="111">
        <f t="shared" si="0"/>
        <v>0</v>
      </c>
      <c r="N6" s="111" t="str">
        <f t="shared" si="2"/>
        <v>-</v>
      </c>
    </row>
    <row r="7" spans="1:14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I7" s="163"/>
      <c r="J7" s="164"/>
      <c r="K7" s="163"/>
      <c r="L7" s="111" t="e">
        <f t="shared" si="1"/>
        <v>#DIV/0!</v>
      </c>
      <c r="M7" s="111">
        <f t="shared" si="0"/>
        <v>0</v>
      </c>
      <c r="N7" s="111" t="str">
        <f t="shared" si="2"/>
        <v>-</v>
      </c>
    </row>
    <row r="8" spans="1:14" s="3" customFormat="1" ht="21" customHeight="1">
      <c r="A8" s="156" t="s">
        <v>17</v>
      </c>
      <c r="B8" s="167"/>
      <c r="C8" s="158"/>
      <c r="D8" s="159"/>
      <c r="E8" s="230"/>
      <c r="F8" s="160"/>
      <c r="G8" s="161"/>
      <c r="H8" s="162"/>
      <c r="I8" s="163"/>
      <c r="J8" s="164"/>
      <c r="K8" s="163"/>
      <c r="L8" s="111" t="e">
        <f t="shared" si="1"/>
        <v>#DIV/0!</v>
      </c>
      <c r="M8" s="111">
        <f t="shared" si="0"/>
        <v>0</v>
      </c>
      <c r="N8" s="111" t="str">
        <f t="shared" si="2"/>
        <v>-</v>
      </c>
    </row>
    <row r="9" spans="1:14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  <c r="L9" s="111" t="e">
        <f t="shared" si="1"/>
        <v>#DIV/0!</v>
      </c>
      <c r="M9" s="111">
        <f t="shared" si="0"/>
        <v>0</v>
      </c>
      <c r="N9" s="111" t="str">
        <f t="shared" si="2"/>
        <v>-</v>
      </c>
    </row>
    <row r="10" spans="1:14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  <c r="L10" s="111" t="e">
        <f t="shared" si="1"/>
        <v>#DIV/0!</v>
      </c>
      <c r="M10" s="111">
        <f t="shared" si="0"/>
        <v>0</v>
      </c>
      <c r="N10" s="111" t="str">
        <f t="shared" si="2"/>
        <v>-</v>
      </c>
    </row>
    <row r="11" spans="1:14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  <c r="L11" s="111" t="e">
        <f t="shared" si="1"/>
        <v>#DIV/0!</v>
      </c>
      <c r="M11" s="111">
        <f t="shared" si="0"/>
        <v>0</v>
      </c>
      <c r="N11" s="111" t="str">
        <f t="shared" si="2"/>
        <v>-</v>
      </c>
    </row>
    <row r="12" spans="1:14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  <c r="L12" s="111" t="e">
        <f t="shared" si="1"/>
        <v>#DIV/0!</v>
      </c>
      <c r="M12" s="111">
        <f t="shared" si="0"/>
        <v>0</v>
      </c>
      <c r="N12" s="111" t="str">
        <f t="shared" si="2"/>
        <v>-</v>
      </c>
    </row>
    <row r="13" spans="1:14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  <c r="L13" s="111" t="e">
        <f t="shared" si="1"/>
        <v>#DIV/0!</v>
      </c>
      <c r="M13" s="111">
        <f t="shared" si="0"/>
        <v>0</v>
      </c>
      <c r="N13" s="111" t="str">
        <f t="shared" si="2"/>
        <v>-</v>
      </c>
    </row>
    <row r="14" spans="1:14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  <c r="L14" s="111" t="e">
        <f t="shared" si="1"/>
        <v>#DIV/0!</v>
      </c>
      <c r="M14" s="111">
        <f t="shared" si="0"/>
        <v>0</v>
      </c>
      <c r="N14" s="111" t="str">
        <f t="shared" si="2"/>
        <v>-</v>
      </c>
    </row>
    <row r="15" spans="1:14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  <c r="L15" s="111" t="e">
        <f t="shared" si="1"/>
        <v>#DIV/0!</v>
      </c>
      <c r="M15" s="111">
        <f t="shared" si="0"/>
        <v>0</v>
      </c>
      <c r="N15" s="111" t="str">
        <f t="shared" si="2"/>
        <v>-</v>
      </c>
    </row>
    <row r="16" spans="1:14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  <c r="L16" s="111" t="e">
        <f t="shared" si="1"/>
        <v>#DIV/0!</v>
      </c>
      <c r="M16" s="111">
        <f t="shared" si="0"/>
        <v>0</v>
      </c>
      <c r="N16" s="111" t="str">
        <f t="shared" si="2"/>
        <v>-</v>
      </c>
    </row>
    <row r="17" spans="1:14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  <c r="L17" s="111" t="e">
        <f t="shared" si="1"/>
        <v>#DIV/0!</v>
      </c>
      <c r="M17" s="111">
        <f t="shared" si="0"/>
        <v>0</v>
      </c>
      <c r="N17" s="111" t="str">
        <f t="shared" si="2"/>
        <v>-</v>
      </c>
    </row>
    <row r="18" spans="1:14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  <c r="L18" s="111" t="e">
        <f t="shared" si="1"/>
        <v>#DIV/0!</v>
      </c>
      <c r="M18" s="111">
        <f t="shared" si="0"/>
        <v>0</v>
      </c>
      <c r="N18" s="111" t="str">
        <f t="shared" si="2"/>
        <v>-</v>
      </c>
    </row>
    <row r="19" spans="1:14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  <c r="L19" s="111" t="e">
        <f t="shared" si="1"/>
        <v>#DIV/0!</v>
      </c>
      <c r="M19" s="111">
        <f t="shared" si="0"/>
        <v>0</v>
      </c>
      <c r="N19" s="111" t="str">
        <f t="shared" si="2"/>
        <v>-</v>
      </c>
    </row>
    <row r="20" spans="1:14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  <c r="L20" s="111" t="e">
        <f t="shared" si="1"/>
        <v>#DIV/0!</v>
      </c>
      <c r="M20" s="111">
        <f t="shared" si="0"/>
        <v>0</v>
      </c>
      <c r="N20" s="111" t="str">
        <f t="shared" si="2"/>
        <v>-</v>
      </c>
    </row>
    <row r="21" spans="1:14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  <c r="L21" s="111" t="e">
        <f t="shared" si="1"/>
        <v>#DIV/0!</v>
      </c>
      <c r="M21" s="111">
        <f t="shared" si="0"/>
        <v>0</v>
      </c>
      <c r="N21" s="111" t="str">
        <f t="shared" si="2"/>
        <v>-</v>
      </c>
    </row>
    <row r="22" spans="1:14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  <c r="L22" s="111" t="e">
        <f t="shared" si="1"/>
        <v>#DIV/0!</v>
      </c>
      <c r="M22" s="111">
        <f t="shared" si="0"/>
        <v>0</v>
      </c>
      <c r="N22" s="111" t="str">
        <f t="shared" si="2"/>
        <v>-</v>
      </c>
    </row>
    <row r="23" spans="1:14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  <c r="L23" s="111" t="e">
        <f t="shared" si="1"/>
        <v>#DIV/0!</v>
      </c>
      <c r="M23" s="111">
        <f t="shared" si="0"/>
        <v>0</v>
      </c>
      <c r="N23" s="111" t="str">
        <f t="shared" si="2"/>
        <v>-</v>
      </c>
    </row>
    <row r="24" spans="1:14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  <c r="L24" s="111" t="e">
        <f t="shared" si="1"/>
        <v>#DIV/0!</v>
      </c>
      <c r="M24" s="111">
        <f t="shared" si="0"/>
        <v>0</v>
      </c>
      <c r="N24" s="111" t="str">
        <f t="shared" si="2"/>
        <v>-</v>
      </c>
    </row>
    <row r="25" spans="1:14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  <c r="L25" s="111" t="e">
        <f t="shared" si="1"/>
        <v>#DIV/0!</v>
      </c>
      <c r="M25" s="111">
        <f t="shared" si="0"/>
        <v>0</v>
      </c>
      <c r="N25" s="111" t="str">
        <f t="shared" si="2"/>
        <v>-</v>
      </c>
    </row>
    <row r="26" spans="1:14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  <c r="L26" s="111" t="e">
        <f t="shared" si="1"/>
        <v>#DIV/0!</v>
      </c>
      <c r="M26" s="111">
        <f t="shared" si="0"/>
        <v>0</v>
      </c>
      <c r="N26" s="111" t="str">
        <f t="shared" si="2"/>
        <v>-</v>
      </c>
    </row>
    <row r="27" spans="1:14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  <c r="L27" s="111" t="e">
        <f t="shared" si="1"/>
        <v>#DIV/0!</v>
      </c>
      <c r="M27" s="111">
        <f t="shared" si="0"/>
        <v>0</v>
      </c>
      <c r="N27" s="111" t="str">
        <f t="shared" si="2"/>
        <v>-</v>
      </c>
    </row>
    <row r="28" spans="1:14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  <c r="L28" s="111" t="e">
        <f t="shared" si="1"/>
        <v>#DIV/0!</v>
      </c>
      <c r="M28" s="111">
        <f t="shared" si="0"/>
        <v>0</v>
      </c>
      <c r="N28" s="111" t="str">
        <f t="shared" si="2"/>
        <v>-</v>
      </c>
    </row>
    <row r="29" spans="1:14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  <c r="L29" s="111" t="e">
        <f t="shared" si="1"/>
        <v>#DIV/0!</v>
      </c>
      <c r="M29" s="111">
        <f t="shared" si="0"/>
        <v>0</v>
      </c>
      <c r="N29" s="111" t="str">
        <f t="shared" si="2"/>
        <v>-</v>
      </c>
    </row>
    <row r="30" spans="1:14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  <c r="L30" s="111" t="e">
        <f t="shared" si="1"/>
        <v>#DIV/0!</v>
      </c>
      <c r="M30" s="111">
        <f t="shared" si="0"/>
        <v>0</v>
      </c>
      <c r="N30" s="111" t="str">
        <f t="shared" si="2"/>
        <v>-</v>
      </c>
    </row>
    <row r="31" spans="1:14" s="3" customFormat="1" ht="21" customHeight="1">
      <c r="A31" s="156" t="s">
        <v>40</v>
      </c>
      <c r="B31" s="167"/>
      <c r="C31" s="172"/>
      <c r="D31" s="159"/>
      <c r="E31" s="230"/>
      <c r="F31" s="160"/>
      <c r="G31" s="161"/>
      <c r="H31" s="162"/>
      <c r="I31" s="163"/>
      <c r="J31" s="164"/>
      <c r="K31" s="163"/>
      <c r="L31" s="111" t="e">
        <f t="shared" si="1"/>
        <v>#DIV/0!</v>
      </c>
      <c r="M31" s="111">
        <f t="shared" si="0"/>
        <v>0</v>
      </c>
      <c r="N31" s="111" t="str">
        <f t="shared" si="2"/>
        <v>-</v>
      </c>
    </row>
    <row r="32" spans="1:14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  <c r="L32" s="111" t="e">
        <f t="shared" si="1"/>
        <v>#DIV/0!</v>
      </c>
      <c r="M32" s="111">
        <f t="shared" si="0"/>
        <v>0</v>
      </c>
      <c r="N32" s="111" t="str">
        <f t="shared" si="2"/>
        <v>-</v>
      </c>
    </row>
    <row r="33" spans="1:14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  <c r="L33" s="111" t="e">
        <f t="shared" si="1"/>
        <v>#DIV/0!</v>
      </c>
      <c r="M33" s="111">
        <f t="shared" si="0"/>
        <v>0</v>
      </c>
      <c r="N33" s="111" t="str">
        <f t="shared" si="2"/>
        <v>-</v>
      </c>
    </row>
    <row r="34" spans="1:14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  <c r="L34" s="111" t="e">
        <f t="shared" si="1"/>
        <v>#DIV/0!</v>
      </c>
      <c r="M34" s="111">
        <f t="shared" si="0"/>
        <v>0</v>
      </c>
      <c r="N34" s="111" t="str">
        <f t="shared" si="2"/>
        <v>-</v>
      </c>
    </row>
    <row r="35" spans="1:14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  <c r="L35" s="111" t="e">
        <f t="shared" si="1"/>
        <v>#DIV/0!</v>
      </c>
      <c r="M35" s="111">
        <f t="shared" si="0"/>
        <v>0</v>
      </c>
      <c r="N35" s="111" t="str">
        <f t="shared" si="2"/>
        <v>-</v>
      </c>
    </row>
    <row r="36" spans="1:14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  <c r="L36" s="111" t="e">
        <f t="shared" si="1"/>
        <v>#DIV/0!</v>
      </c>
      <c r="M36" s="111">
        <f t="shared" si="0"/>
        <v>0</v>
      </c>
      <c r="N36" s="111" t="str">
        <f t="shared" si="2"/>
        <v>-</v>
      </c>
    </row>
    <row r="37" spans="1:14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  <c r="L37" s="111" t="e">
        <f t="shared" si="1"/>
        <v>#DIV/0!</v>
      </c>
      <c r="M37" s="111">
        <f t="shared" si="0"/>
        <v>0</v>
      </c>
      <c r="N37" s="111" t="str">
        <f t="shared" si="2"/>
        <v>-</v>
      </c>
    </row>
    <row r="38" spans="1:14" s="3" customFormat="1" ht="21" customHeight="1">
      <c r="A38" s="156" t="s">
        <v>47</v>
      </c>
      <c r="B38" s="171"/>
      <c r="C38" s="194"/>
      <c r="D38" s="195"/>
      <c r="E38" s="234"/>
      <c r="F38" s="160"/>
      <c r="G38" s="161"/>
      <c r="H38" s="162"/>
      <c r="I38" s="163"/>
      <c r="J38" s="164"/>
      <c r="K38" s="163"/>
      <c r="L38" s="111" t="e">
        <f t="shared" si="1"/>
        <v>#DIV/0!</v>
      </c>
      <c r="M38" s="111">
        <f t="shared" si="0"/>
        <v>0</v>
      </c>
      <c r="N38" s="111" t="str">
        <f t="shared" si="2"/>
        <v>-</v>
      </c>
    </row>
    <row r="39" spans="1:14" s="3" customFormat="1" ht="21" customHeight="1">
      <c r="A39" s="156" t="s">
        <v>48</v>
      </c>
      <c r="B39" s="167"/>
      <c r="C39" s="172"/>
      <c r="D39" s="159"/>
      <c r="E39" s="230"/>
      <c r="F39" s="160"/>
      <c r="G39" s="161"/>
      <c r="H39" s="162"/>
      <c r="I39" s="163"/>
      <c r="J39" s="164"/>
      <c r="K39" s="163"/>
      <c r="L39" s="111" t="e">
        <f t="shared" si="1"/>
        <v>#DIV/0!</v>
      </c>
      <c r="M39" s="111">
        <f t="shared" si="0"/>
        <v>0</v>
      </c>
      <c r="N39" s="111" t="str">
        <f t="shared" si="2"/>
        <v>-</v>
      </c>
    </row>
    <row r="40" spans="1:14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  <c r="L40" s="111" t="e">
        <f t="shared" si="1"/>
        <v>#DIV/0!</v>
      </c>
      <c r="M40" s="111">
        <f t="shared" si="0"/>
        <v>0</v>
      </c>
      <c r="N40" s="111" t="str">
        <f t="shared" si="2"/>
        <v>-</v>
      </c>
    </row>
    <row r="41" spans="1:14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  <c r="L41" s="111" t="e">
        <f t="shared" si="1"/>
        <v>#DIV/0!</v>
      </c>
      <c r="M41" s="111">
        <f t="shared" si="0"/>
        <v>0</v>
      </c>
      <c r="N41" s="111" t="str">
        <f t="shared" si="2"/>
        <v>-</v>
      </c>
    </row>
    <row r="42" spans="1:14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  <c r="L42" s="111" t="e">
        <f t="shared" si="1"/>
        <v>#DIV/0!</v>
      </c>
      <c r="M42" s="111">
        <f t="shared" si="0"/>
        <v>0</v>
      </c>
      <c r="N42" s="111" t="str">
        <f t="shared" si="2"/>
        <v>-</v>
      </c>
    </row>
    <row r="43" spans="1:14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  <c r="L43" s="111" t="e">
        <f t="shared" si="1"/>
        <v>#DIV/0!</v>
      </c>
      <c r="M43" s="111">
        <f t="shared" si="0"/>
        <v>0</v>
      </c>
      <c r="N43" s="111" t="str">
        <f t="shared" si="2"/>
        <v>-</v>
      </c>
    </row>
    <row r="44" spans="1:14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  <c r="L44" s="111" t="e">
        <f t="shared" si="1"/>
        <v>#DIV/0!</v>
      </c>
      <c r="M44" s="111">
        <f t="shared" si="0"/>
        <v>0</v>
      </c>
      <c r="N44" s="111" t="str">
        <f t="shared" si="2"/>
        <v>-</v>
      </c>
    </row>
    <row r="45" spans="1:14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  <c r="L45" s="111" t="e">
        <f t="shared" si="1"/>
        <v>#DIV/0!</v>
      </c>
      <c r="M45" s="111">
        <f t="shared" si="0"/>
        <v>0</v>
      </c>
      <c r="N45" s="111" t="str">
        <f t="shared" si="2"/>
        <v>-</v>
      </c>
    </row>
    <row r="46" spans="1:14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  <c r="L46" s="111" t="e">
        <f t="shared" si="1"/>
        <v>#DIV/0!</v>
      </c>
      <c r="M46" s="111">
        <f t="shared" si="0"/>
        <v>0</v>
      </c>
      <c r="N46" s="111" t="str">
        <f t="shared" si="2"/>
        <v>-</v>
      </c>
    </row>
    <row r="47" spans="1:14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  <c r="L47" s="111" t="e">
        <f t="shared" si="1"/>
        <v>#DIV/0!</v>
      </c>
      <c r="M47" s="111">
        <f t="shared" si="0"/>
        <v>0</v>
      </c>
      <c r="N47" s="111" t="str">
        <f t="shared" si="2"/>
        <v>-</v>
      </c>
    </row>
    <row r="48" spans="1:14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  <c r="L48" s="111" t="e">
        <f t="shared" si="1"/>
        <v>#DIV/0!</v>
      </c>
      <c r="M48" s="111">
        <f t="shared" si="0"/>
        <v>0</v>
      </c>
      <c r="N48" s="111" t="str">
        <f t="shared" si="2"/>
        <v>-</v>
      </c>
    </row>
    <row r="49" spans="1:14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  <c r="L49" s="111" t="e">
        <f t="shared" si="1"/>
        <v>#DIV/0!</v>
      </c>
      <c r="M49" s="111">
        <f t="shared" si="0"/>
        <v>0</v>
      </c>
      <c r="N49" s="111" t="str">
        <f t="shared" si="2"/>
        <v>-</v>
      </c>
    </row>
    <row r="50" spans="1:14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  <c r="L50" s="111" t="e">
        <f t="shared" si="1"/>
        <v>#DIV/0!</v>
      </c>
      <c r="M50" s="111">
        <f t="shared" si="0"/>
        <v>0</v>
      </c>
      <c r="N50" s="111" t="str">
        <f t="shared" si="2"/>
        <v>-</v>
      </c>
    </row>
    <row r="51" spans="1:14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  <c r="L51" s="111" t="e">
        <f t="shared" si="1"/>
        <v>#DIV/0!</v>
      </c>
      <c r="M51" s="111">
        <f t="shared" si="0"/>
        <v>0</v>
      </c>
      <c r="N51" s="111" t="str">
        <f t="shared" si="2"/>
        <v>-</v>
      </c>
    </row>
    <row r="52" spans="1:14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  <c r="L52" s="111" t="e">
        <f t="shared" si="1"/>
        <v>#DIV/0!</v>
      </c>
      <c r="M52" s="111">
        <f t="shared" si="0"/>
        <v>0</v>
      </c>
      <c r="N52" s="111" t="str">
        <f t="shared" si="2"/>
        <v>-</v>
      </c>
    </row>
    <row r="53" spans="1:14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  <c r="L53" s="111" t="e">
        <f t="shared" si="1"/>
        <v>#DIV/0!</v>
      </c>
      <c r="M53" s="111">
        <f t="shared" si="0"/>
        <v>0</v>
      </c>
      <c r="N53" s="111" t="str">
        <f t="shared" si="2"/>
        <v>-</v>
      </c>
    </row>
    <row r="54" spans="1:14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  <c r="L54" s="111" t="e">
        <f t="shared" si="1"/>
        <v>#DIV/0!</v>
      </c>
      <c r="M54" s="111">
        <f t="shared" si="0"/>
        <v>0</v>
      </c>
      <c r="N54" s="111" t="str">
        <f t="shared" si="2"/>
        <v>-</v>
      </c>
    </row>
    <row r="55" spans="1:14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  <c r="L55" s="111" t="e">
        <f t="shared" si="1"/>
        <v>#DIV/0!</v>
      </c>
      <c r="M55" s="111">
        <f t="shared" si="0"/>
        <v>0</v>
      </c>
      <c r="N55" s="111" t="str">
        <f t="shared" si="2"/>
        <v>-</v>
      </c>
    </row>
    <row r="56" spans="1:14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  <c r="L56" s="111" t="e">
        <f t="shared" si="1"/>
        <v>#DIV/0!</v>
      </c>
      <c r="M56" s="111">
        <f t="shared" si="0"/>
        <v>0</v>
      </c>
      <c r="N56" s="111" t="str">
        <f t="shared" si="2"/>
        <v>-</v>
      </c>
    </row>
    <row r="57" spans="1:14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  <c r="L57" s="111" t="e">
        <f t="shared" si="1"/>
        <v>#DIV/0!</v>
      </c>
      <c r="M57" s="111">
        <f t="shared" si="0"/>
        <v>0</v>
      </c>
      <c r="N57" s="111" t="str">
        <f t="shared" si="2"/>
        <v>-</v>
      </c>
    </row>
    <row r="58" spans="1:14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  <c r="L58" s="111" t="e">
        <f t="shared" si="1"/>
        <v>#DIV/0!</v>
      </c>
      <c r="M58" s="111">
        <f t="shared" si="0"/>
        <v>0</v>
      </c>
      <c r="N58" s="111" t="str">
        <f t="shared" si="2"/>
        <v>-</v>
      </c>
    </row>
    <row r="59" spans="1:14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  <c r="L59" s="111" t="e">
        <f t="shared" si="1"/>
        <v>#DIV/0!</v>
      </c>
      <c r="M59" s="111">
        <f t="shared" si="0"/>
        <v>0</v>
      </c>
      <c r="N59" s="111" t="str">
        <f t="shared" si="2"/>
        <v>-</v>
      </c>
    </row>
    <row r="60" spans="1:14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  <c r="L60" s="111" t="e">
        <f t="shared" si="1"/>
        <v>#DIV/0!</v>
      </c>
      <c r="M60" s="111">
        <f t="shared" si="0"/>
        <v>0</v>
      </c>
      <c r="N60" s="111" t="str">
        <f t="shared" si="2"/>
        <v>-</v>
      </c>
    </row>
    <row r="61" spans="1:14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  <c r="L61" s="111" t="e">
        <f t="shared" si="1"/>
        <v>#DIV/0!</v>
      </c>
      <c r="M61" s="111">
        <f t="shared" si="0"/>
        <v>0</v>
      </c>
      <c r="N61" s="111" t="str">
        <f t="shared" si="2"/>
        <v>-</v>
      </c>
    </row>
    <row r="62" spans="1:14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  <c r="L62" s="111" t="e">
        <f t="shared" si="1"/>
        <v>#DIV/0!</v>
      </c>
      <c r="M62" s="111">
        <f t="shared" si="0"/>
        <v>0</v>
      </c>
      <c r="N62" s="111" t="str">
        <f t="shared" si="2"/>
        <v>-</v>
      </c>
    </row>
    <row r="63" spans="1:14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  <c r="L63" s="111" t="e">
        <f t="shared" si="1"/>
        <v>#DIV/0!</v>
      </c>
      <c r="M63" s="111">
        <f t="shared" si="0"/>
        <v>0</v>
      </c>
      <c r="N63" s="111" t="str">
        <f t="shared" si="2"/>
        <v>-</v>
      </c>
    </row>
    <row r="64" spans="1:14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  <c r="L64" s="111" t="e">
        <f t="shared" si="1"/>
        <v>#DIV/0!</v>
      </c>
      <c r="M64" s="111">
        <f t="shared" si="0"/>
        <v>0</v>
      </c>
      <c r="N64" s="111" t="str">
        <f t="shared" si="2"/>
        <v>-</v>
      </c>
    </row>
    <row r="65" spans="1:14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  <c r="L65" s="111" t="e">
        <f t="shared" si="1"/>
        <v>#DIV/0!</v>
      </c>
      <c r="M65" s="111">
        <f t="shared" si="0"/>
        <v>0</v>
      </c>
      <c r="N65" s="111" t="str">
        <f t="shared" si="2"/>
        <v>-</v>
      </c>
    </row>
    <row r="66" spans="1:14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  <c r="L66" s="111" t="e">
        <f t="shared" si="1"/>
        <v>#DIV/0!</v>
      </c>
      <c r="M66" s="111">
        <f t="shared" si="0"/>
        <v>0</v>
      </c>
      <c r="N66" s="111" t="str">
        <f t="shared" si="2"/>
        <v>-</v>
      </c>
    </row>
    <row r="67" spans="1:14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  <c r="L67" s="111" t="e">
        <f t="shared" si="1"/>
        <v>#DIV/0!</v>
      </c>
      <c r="M67" s="111">
        <f t="shared" ref="M67:M98" si="3">IF(I67="",G67*J67,G67*J67/I67)</f>
        <v>0</v>
      </c>
      <c r="N67" s="111" t="str">
        <f t="shared" si="2"/>
        <v>-</v>
      </c>
    </row>
    <row r="68" spans="1:14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  <c r="L68" s="111" t="e">
        <f t="shared" ref="L68:L98" si="4">ROUNDDOWN(IF((1/G68)&gt;10,10,1/G68),1)</f>
        <v>#DIV/0!</v>
      </c>
      <c r="M68" s="111">
        <f t="shared" si="3"/>
        <v>0</v>
      </c>
      <c r="N68" s="111" t="str">
        <f t="shared" ref="N68:N98" si="5">IF(ROUNDDOWN(M68*20,0)=0,"-", ROUNDDOWN(M68*20,0))</f>
        <v>-</v>
      </c>
    </row>
    <row r="69" spans="1:14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  <c r="L69" s="111" t="e">
        <f t="shared" si="4"/>
        <v>#DIV/0!</v>
      </c>
      <c r="M69" s="111">
        <f t="shared" si="3"/>
        <v>0</v>
      </c>
      <c r="N69" s="111" t="str">
        <f t="shared" si="5"/>
        <v>-</v>
      </c>
    </row>
    <row r="70" spans="1:14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  <c r="L70" s="111" t="e">
        <f t="shared" si="4"/>
        <v>#DIV/0!</v>
      </c>
      <c r="M70" s="111">
        <f t="shared" si="3"/>
        <v>0</v>
      </c>
      <c r="N70" s="111" t="str">
        <f t="shared" si="5"/>
        <v>-</v>
      </c>
    </row>
    <row r="71" spans="1:14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  <c r="L71" s="111" t="e">
        <f t="shared" si="4"/>
        <v>#DIV/0!</v>
      </c>
      <c r="M71" s="111">
        <f t="shared" si="3"/>
        <v>0</v>
      </c>
      <c r="N71" s="111" t="str">
        <f t="shared" si="5"/>
        <v>-</v>
      </c>
    </row>
    <row r="72" spans="1:14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  <c r="L72" s="111" t="e">
        <f t="shared" si="4"/>
        <v>#DIV/0!</v>
      </c>
      <c r="M72" s="111">
        <f t="shared" si="3"/>
        <v>0</v>
      </c>
      <c r="N72" s="111" t="str">
        <f t="shared" si="5"/>
        <v>-</v>
      </c>
    </row>
    <row r="73" spans="1:14" s="3" customFormat="1" ht="21" customHeight="1">
      <c r="A73" s="156" t="s">
        <v>82</v>
      </c>
      <c r="B73" s="171"/>
      <c r="C73" s="194"/>
      <c r="D73" s="195"/>
      <c r="E73" s="234"/>
      <c r="F73" s="160"/>
      <c r="G73" s="161"/>
      <c r="H73" s="162"/>
      <c r="I73" s="163"/>
      <c r="J73" s="164"/>
      <c r="K73" s="163"/>
      <c r="L73" s="111" t="e">
        <f t="shared" si="4"/>
        <v>#DIV/0!</v>
      </c>
      <c r="M73" s="111">
        <f t="shared" si="3"/>
        <v>0</v>
      </c>
      <c r="N73" s="111" t="str">
        <f t="shared" si="5"/>
        <v>-</v>
      </c>
    </row>
    <row r="74" spans="1:14" s="3" customFormat="1" ht="21" customHeight="1" thickBot="1">
      <c r="A74" s="173" t="s">
        <v>83</v>
      </c>
      <c r="B74" s="174"/>
      <c r="C74" s="175"/>
      <c r="D74" s="176"/>
      <c r="E74" s="232"/>
      <c r="F74" s="177"/>
      <c r="G74" s="178"/>
      <c r="H74" s="177"/>
      <c r="I74" s="179"/>
      <c r="J74" s="180"/>
      <c r="K74" s="179"/>
      <c r="L74" s="111" t="e">
        <f t="shared" si="4"/>
        <v>#DIV/0!</v>
      </c>
      <c r="M74" s="111">
        <f t="shared" si="3"/>
        <v>0</v>
      </c>
      <c r="N74" s="111" t="str">
        <f t="shared" si="5"/>
        <v>-</v>
      </c>
    </row>
    <row r="75" spans="1:14" s="3" customFormat="1" ht="21" customHeight="1" thickTop="1">
      <c r="A75" s="156" t="s">
        <v>84</v>
      </c>
      <c r="B75" s="157"/>
      <c r="C75" s="158"/>
      <c r="D75" s="159"/>
      <c r="E75" s="260"/>
      <c r="F75" s="160"/>
      <c r="G75" s="161"/>
      <c r="H75" s="162"/>
      <c r="I75" s="163"/>
      <c r="J75" s="164"/>
      <c r="K75" s="163"/>
      <c r="L75" s="111" t="e">
        <f t="shared" si="4"/>
        <v>#DIV/0!</v>
      </c>
      <c r="M75" s="111">
        <f t="shared" si="3"/>
        <v>0</v>
      </c>
      <c r="N75" s="111" t="str">
        <f t="shared" si="5"/>
        <v>-</v>
      </c>
    </row>
    <row r="76" spans="1:14" s="3" customFormat="1" ht="21" customHeight="1">
      <c r="A76" s="156" t="s">
        <v>85</v>
      </c>
      <c r="B76" s="167"/>
      <c r="C76" s="168"/>
      <c r="D76" s="169"/>
      <c r="E76" s="261"/>
      <c r="F76" s="160"/>
      <c r="G76" s="161"/>
      <c r="H76" s="162"/>
      <c r="I76" s="163"/>
      <c r="J76" s="164"/>
      <c r="K76" s="163"/>
      <c r="L76" s="111" t="e">
        <f t="shared" si="4"/>
        <v>#DIV/0!</v>
      </c>
      <c r="M76" s="111">
        <f t="shared" si="3"/>
        <v>0</v>
      </c>
      <c r="N76" s="111" t="str">
        <f t="shared" si="5"/>
        <v>-</v>
      </c>
    </row>
    <row r="77" spans="1:14" s="3" customFormat="1" ht="21" customHeight="1">
      <c r="A77" s="156" t="s">
        <v>86</v>
      </c>
      <c r="B77" s="167"/>
      <c r="C77" s="168"/>
      <c r="D77" s="169"/>
      <c r="E77" s="261"/>
      <c r="F77" s="160"/>
      <c r="G77" s="161"/>
      <c r="H77" s="162"/>
      <c r="I77" s="163"/>
      <c r="J77" s="164"/>
      <c r="K77" s="163"/>
      <c r="L77" s="111" t="e">
        <f t="shared" si="4"/>
        <v>#DIV/0!</v>
      </c>
      <c r="M77" s="111">
        <f t="shared" si="3"/>
        <v>0</v>
      </c>
      <c r="N77" s="111" t="str">
        <f t="shared" si="5"/>
        <v>-</v>
      </c>
    </row>
    <row r="78" spans="1:14" s="3" customFormat="1" ht="21" customHeight="1">
      <c r="A78" s="156" t="s">
        <v>87</v>
      </c>
      <c r="B78" s="171"/>
      <c r="C78" s="168"/>
      <c r="D78" s="169"/>
      <c r="E78" s="261"/>
      <c r="F78" s="160"/>
      <c r="G78" s="161"/>
      <c r="H78" s="162"/>
      <c r="I78" s="163"/>
      <c r="J78" s="164"/>
      <c r="K78" s="163"/>
      <c r="L78" s="111" t="e">
        <f t="shared" si="4"/>
        <v>#DIV/0!</v>
      </c>
      <c r="M78" s="111">
        <f t="shared" si="3"/>
        <v>0</v>
      </c>
      <c r="N78" s="111" t="str">
        <f t="shared" si="5"/>
        <v>-</v>
      </c>
    </row>
    <row r="79" spans="1:14" s="3" customFormat="1" ht="21" customHeight="1">
      <c r="A79" s="156" t="s">
        <v>88</v>
      </c>
      <c r="B79" s="167"/>
      <c r="C79" s="172"/>
      <c r="D79" s="159"/>
      <c r="E79" s="260"/>
      <c r="F79" s="160"/>
      <c r="G79" s="161"/>
      <c r="H79" s="162"/>
      <c r="I79" s="163"/>
      <c r="J79" s="164"/>
      <c r="K79" s="163"/>
      <c r="L79" s="111" t="e">
        <f t="shared" si="4"/>
        <v>#DIV/0!</v>
      </c>
      <c r="M79" s="111">
        <f t="shared" si="3"/>
        <v>0</v>
      </c>
      <c r="N79" s="111" t="str">
        <f t="shared" si="5"/>
        <v>-</v>
      </c>
    </row>
    <row r="80" spans="1:14" s="3" customFormat="1" ht="21" customHeight="1">
      <c r="A80" s="156" t="s">
        <v>89</v>
      </c>
      <c r="B80" s="167"/>
      <c r="C80" s="158"/>
      <c r="D80" s="159"/>
      <c r="E80" s="260"/>
      <c r="F80" s="160"/>
      <c r="G80" s="161"/>
      <c r="H80" s="162"/>
      <c r="I80" s="163"/>
      <c r="J80" s="164"/>
      <c r="K80" s="163"/>
      <c r="L80" s="111" t="e">
        <f t="shared" si="4"/>
        <v>#DIV/0!</v>
      </c>
      <c r="M80" s="111">
        <f t="shared" si="3"/>
        <v>0</v>
      </c>
      <c r="N80" s="111" t="str">
        <f t="shared" si="5"/>
        <v>-</v>
      </c>
    </row>
    <row r="81" spans="1:14" s="3" customFormat="1" ht="21" customHeight="1">
      <c r="A81" s="156" t="s">
        <v>90</v>
      </c>
      <c r="B81" s="167"/>
      <c r="C81" s="158"/>
      <c r="D81" s="159"/>
      <c r="E81" s="260"/>
      <c r="F81" s="160"/>
      <c r="G81" s="161"/>
      <c r="H81" s="162"/>
      <c r="I81" s="163"/>
      <c r="J81" s="164"/>
      <c r="K81" s="163"/>
      <c r="L81" s="111" t="e">
        <f t="shared" si="4"/>
        <v>#DIV/0!</v>
      </c>
      <c r="M81" s="111">
        <f t="shared" si="3"/>
        <v>0</v>
      </c>
      <c r="N81" s="111" t="str">
        <f t="shared" si="5"/>
        <v>-</v>
      </c>
    </row>
    <row r="82" spans="1:14" s="3" customFormat="1" ht="21" customHeight="1" thickBot="1">
      <c r="A82" s="173" t="s">
        <v>91</v>
      </c>
      <c r="B82" s="174"/>
      <c r="C82" s="175"/>
      <c r="D82" s="176"/>
      <c r="E82" s="264"/>
      <c r="F82" s="177"/>
      <c r="G82" s="178"/>
      <c r="H82" s="177"/>
      <c r="I82" s="179"/>
      <c r="J82" s="180"/>
      <c r="K82" s="179"/>
      <c r="L82" s="111" t="e">
        <f t="shared" si="4"/>
        <v>#DIV/0!</v>
      </c>
      <c r="M82" s="111">
        <f t="shared" si="3"/>
        <v>0</v>
      </c>
      <c r="N82" s="111" t="str">
        <f t="shared" si="5"/>
        <v>-</v>
      </c>
    </row>
    <row r="83" spans="1:14" s="3" customFormat="1" ht="21" customHeight="1" thickTop="1">
      <c r="A83" s="183" t="s">
        <v>92</v>
      </c>
      <c r="B83" s="184"/>
      <c r="C83" s="185"/>
      <c r="D83" s="186"/>
      <c r="E83" s="265"/>
      <c r="F83" s="187"/>
      <c r="G83" s="188"/>
      <c r="H83" s="189"/>
      <c r="I83" s="190"/>
      <c r="J83" s="191"/>
      <c r="K83" s="190"/>
      <c r="L83" s="111" t="e">
        <f t="shared" si="4"/>
        <v>#DIV/0!</v>
      </c>
      <c r="M83" s="111">
        <f t="shared" si="3"/>
        <v>0</v>
      </c>
      <c r="N83" s="111" t="str">
        <f t="shared" si="5"/>
        <v>-</v>
      </c>
    </row>
    <row r="84" spans="1:14" s="3" customFormat="1" ht="21" customHeight="1">
      <c r="A84" s="156" t="s">
        <v>93</v>
      </c>
      <c r="B84" s="167"/>
      <c r="C84" s="168"/>
      <c r="D84" s="169"/>
      <c r="E84" s="261"/>
      <c r="F84" s="160"/>
      <c r="G84" s="161"/>
      <c r="H84" s="162"/>
      <c r="I84" s="163"/>
      <c r="J84" s="164"/>
      <c r="K84" s="163"/>
      <c r="L84" s="111" t="e">
        <f t="shared" si="4"/>
        <v>#DIV/0!</v>
      </c>
      <c r="M84" s="111">
        <f t="shared" si="3"/>
        <v>0</v>
      </c>
      <c r="N84" s="111" t="str">
        <f t="shared" si="5"/>
        <v>-</v>
      </c>
    </row>
    <row r="85" spans="1:14" s="3" customFormat="1" ht="21" customHeight="1">
      <c r="A85" s="156" t="s">
        <v>94</v>
      </c>
      <c r="B85" s="167"/>
      <c r="C85" s="168"/>
      <c r="D85" s="169"/>
      <c r="E85" s="261"/>
      <c r="F85" s="160"/>
      <c r="G85" s="161"/>
      <c r="H85" s="162"/>
      <c r="I85" s="163"/>
      <c r="J85" s="164"/>
      <c r="K85" s="163"/>
      <c r="L85" s="111" t="e">
        <f t="shared" si="4"/>
        <v>#DIV/0!</v>
      </c>
      <c r="M85" s="111">
        <f t="shared" si="3"/>
        <v>0</v>
      </c>
      <c r="N85" s="111" t="str">
        <f t="shared" si="5"/>
        <v>-</v>
      </c>
    </row>
    <row r="86" spans="1:14" s="3" customFormat="1" ht="21" customHeight="1">
      <c r="A86" s="156" t="s">
        <v>95</v>
      </c>
      <c r="B86" s="171"/>
      <c r="C86" s="194"/>
      <c r="D86" s="195"/>
      <c r="E86" s="263"/>
      <c r="F86" s="160"/>
      <c r="G86" s="161"/>
      <c r="H86" s="162"/>
      <c r="I86" s="163"/>
      <c r="J86" s="164"/>
      <c r="K86" s="163"/>
      <c r="L86" s="111" t="e">
        <f t="shared" si="4"/>
        <v>#DIV/0!</v>
      </c>
      <c r="M86" s="111">
        <f t="shared" si="3"/>
        <v>0</v>
      </c>
      <c r="N86" s="111" t="str">
        <f t="shared" si="5"/>
        <v>-</v>
      </c>
    </row>
    <row r="87" spans="1:14" s="3" customFormat="1" ht="21" customHeight="1">
      <c r="A87" s="156" t="s">
        <v>96</v>
      </c>
      <c r="B87" s="167"/>
      <c r="C87" s="172"/>
      <c r="D87" s="159"/>
      <c r="E87" s="260"/>
      <c r="F87" s="160"/>
      <c r="G87" s="161"/>
      <c r="H87" s="162"/>
      <c r="I87" s="163"/>
      <c r="J87" s="164"/>
      <c r="K87" s="163"/>
      <c r="L87" s="111" t="e">
        <f t="shared" si="4"/>
        <v>#DIV/0!</v>
      </c>
      <c r="M87" s="111">
        <f t="shared" si="3"/>
        <v>0</v>
      </c>
      <c r="N87" s="111" t="str">
        <f t="shared" si="5"/>
        <v>-</v>
      </c>
    </row>
    <row r="88" spans="1:14" s="3" customFormat="1" ht="21" customHeight="1">
      <c r="A88" s="156" t="s">
        <v>97</v>
      </c>
      <c r="B88" s="167"/>
      <c r="C88" s="158"/>
      <c r="D88" s="197"/>
      <c r="E88" s="262"/>
      <c r="F88" s="160"/>
      <c r="G88" s="161"/>
      <c r="H88" s="162"/>
      <c r="I88" s="163"/>
      <c r="J88" s="164"/>
      <c r="K88" s="163"/>
      <c r="L88" s="111" t="e">
        <f t="shared" si="4"/>
        <v>#DIV/0!</v>
      </c>
      <c r="M88" s="111">
        <f t="shared" si="3"/>
        <v>0</v>
      </c>
      <c r="N88" s="111" t="str">
        <f t="shared" si="5"/>
        <v>-</v>
      </c>
    </row>
    <row r="89" spans="1:14" s="3" customFormat="1" ht="21" customHeight="1">
      <c r="A89" s="156" t="s">
        <v>98</v>
      </c>
      <c r="B89" s="167"/>
      <c r="C89" s="158"/>
      <c r="D89" s="197"/>
      <c r="E89" s="262"/>
      <c r="F89" s="160"/>
      <c r="G89" s="161"/>
      <c r="H89" s="162"/>
      <c r="I89" s="163"/>
      <c r="J89" s="164"/>
      <c r="K89" s="163"/>
      <c r="L89" s="111" t="e">
        <f t="shared" si="4"/>
        <v>#DIV/0!</v>
      </c>
      <c r="M89" s="111">
        <f t="shared" si="3"/>
        <v>0</v>
      </c>
      <c r="N89" s="111" t="str">
        <f t="shared" si="5"/>
        <v>-</v>
      </c>
    </row>
    <row r="90" spans="1:14" s="3" customFormat="1" ht="21" customHeight="1" thickBot="1">
      <c r="A90" s="173" t="s">
        <v>99</v>
      </c>
      <c r="B90" s="174"/>
      <c r="C90" s="175"/>
      <c r="D90" s="176"/>
      <c r="E90" s="264"/>
      <c r="F90" s="177"/>
      <c r="G90" s="178"/>
      <c r="H90" s="177"/>
      <c r="I90" s="179"/>
      <c r="J90" s="180"/>
      <c r="K90" s="179"/>
      <c r="L90" s="111" t="e">
        <f t="shared" si="4"/>
        <v>#DIV/0!</v>
      </c>
      <c r="M90" s="111">
        <f t="shared" si="3"/>
        <v>0</v>
      </c>
      <c r="N90" s="111" t="str">
        <f t="shared" si="5"/>
        <v>-</v>
      </c>
    </row>
    <row r="91" spans="1:14" s="3" customFormat="1" ht="21" customHeight="1" thickTop="1">
      <c r="A91" s="156" t="s">
        <v>100</v>
      </c>
      <c r="B91" s="157"/>
      <c r="C91" s="158"/>
      <c r="D91" s="159"/>
      <c r="E91" s="260"/>
      <c r="F91" s="160"/>
      <c r="G91" s="161"/>
      <c r="H91" s="162"/>
      <c r="I91" s="163"/>
      <c r="J91" s="164"/>
      <c r="K91" s="163"/>
      <c r="L91" s="111" t="e">
        <f t="shared" si="4"/>
        <v>#DIV/0!</v>
      </c>
      <c r="M91" s="111">
        <f t="shared" si="3"/>
        <v>0</v>
      </c>
      <c r="N91" s="111" t="str">
        <f t="shared" si="5"/>
        <v>-</v>
      </c>
    </row>
    <row r="92" spans="1:14" s="3" customFormat="1" ht="21" customHeight="1">
      <c r="A92" s="156" t="s">
        <v>101</v>
      </c>
      <c r="B92" s="167"/>
      <c r="C92" s="168"/>
      <c r="D92" s="169"/>
      <c r="E92" s="261"/>
      <c r="F92" s="160"/>
      <c r="G92" s="161"/>
      <c r="H92" s="162"/>
      <c r="I92" s="163"/>
      <c r="J92" s="164"/>
      <c r="K92" s="163"/>
      <c r="L92" s="111" t="e">
        <f t="shared" si="4"/>
        <v>#DIV/0!</v>
      </c>
      <c r="M92" s="111">
        <f t="shared" si="3"/>
        <v>0</v>
      </c>
      <c r="N92" s="111" t="str">
        <f t="shared" si="5"/>
        <v>-</v>
      </c>
    </row>
    <row r="93" spans="1:14" s="3" customFormat="1" ht="21" customHeight="1">
      <c r="A93" s="156" t="s">
        <v>102</v>
      </c>
      <c r="B93" s="167"/>
      <c r="C93" s="168"/>
      <c r="D93" s="169"/>
      <c r="E93" s="261"/>
      <c r="F93" s="160"/>
      <c r="G93" s="161"/>
      <c r="H93" s="162"/>
      <c r="I93" s="163"/>
      <c r="J93" s="164"/>
      <c r="K93" s="163"/>
      <c r="L93" s="111" t="e">
        <f t="shared" si="4"/>
        <v>#DIV/0!</v>
      </c>
      <c r="M93" s="111">
        <f t="shared" si="3"/>
        <v>0</v>
      </c>
      <c r="N93" s="111" t="str">
        <f t="shared" si="5"/>
        <v>-</v>
      </c>
    </row>
    <row r="94" spans="1:14" s="3" customFormat="1" ht="21" customHeight="1">
      <c r="A94" s="156" t="s">
        <v>103</v>
      </c>
      <c r="B94" s="167"/>
      <c r="C94" s="168"/>
      <c r="D94" s="169"/>
      <c r="E94" s="261"/>
      <c r="F94" s="160"/>
      <c r="G94" s="161"/>
      <c r="H94" s="162"/>
      <c r="I94" s="163"/>
      <c r="J94" s="164"/>
      <c r="K94" s="199"/>
      <c r="L94" s="111" t="e">
        <f t="shared" si="4"/>
        <v>#DIV/0!</v>
      </c>
      <c r="M94" s="111">
        <f t="shared" si="3"/>
        <v>0</v>
      </c>
      <c r="N94" s="111" t="str">
        <f t="shared" si="5"/>
        <v>-</v>
      </c>
    </row>
    <row r="95" spans="1:14" s="3" customFormat="1" ht="21" customHeight="1">
      <c r="A95" s="156" t="s">
        <v>104</v>
      </c>
      <c r="B95" s="167"/>
      <c r="C95" s="168"/>
      <c r="D95" s="169"/>
      <c r="E95" s="261"/>
      <c r="F95" s="160"/>
      <c r="G95" s="161"/>
      <c r="H95" s="200"/>
      <c r="I95" s="163"/>
      <c r="J95" s="164"/>
      <c r="K95" s="199"/>
      <c r="L95" s="111" t="e">
        <f t="shared" si="4"/>
        <v>#DIV/0!</v>
      </c>
      <c r="M95" s="111">
        <f t="shared" si="3"/>
        <v>0</v>
      </c>
      <c r="N95" s="111" t="str">
        <f t="shared" si="5"/>
        <v>-</v>
      </c>
    </row>
    <row r="96" spans="1:14" s="3" customFormat="1" ht="21" customHeight="1">
      <c r="A96" s="156" t="s">
        <v>105</v>
      </c>
      <c r="B96" s="171"/>
      <c r="C96" s="194"/>
      <c r="D96" s="197"/>
      <c r="E96" s="262"/>
      <c r="F96" s="160"/>
      <c r="G96" s="161"/>
      <c r="H96" s="162"/>
      <c r="I96" s="163"/>
      <c r="J96" s="164"/>
      <c r="K96" s="163"/>
      <c r="L96" s="111" t="e">
        <f t="shared" si="4"/>
        <v>#DIV/0!</v>
      </c>
      <c r="M96" s="111">
        <f t="shared" si="3"/>
        <v>0</v>
      </c>
      <c r="N96" s="111" t="str">
        <f t="shared" si="5"/>
        <v>-</v>
      </c>
    </row>
    <row r="97" spans="1:14" s="3" customFormat="1" ht="21" customHeight="1">
      <c r="A97" s="156" t="s">
        <v>106</v>
      </c>
      <c r="B97" s="171"/>
      <c r="C97" s="194"/>
      <c r="D97" s="195"/>
      <c r="E97" s="263"/>
      <c r="F97" s="160"/>
      <c r="G97" s="161"/>
      <c r="H97" s="162"/>
      <c r="I97" s="163"/>
      <c r="J97" s="164"/>
      <c r="K97" s="163"/>
      <c r="L97" s="111" t="e">
        <f t="shared" si="4"/>
        <v>#DIV/0!</v>
      </c>
      <c r="M97" s="111">
        <f t="shared" si="3"/>
        <v>0</v>
      </c>
      <c r="N97" s="111" t="str">
        <f t="shared" si="5"/>
        <v>-</v>
      </c>
    </row>
    <row r="98" spans="1:14" s="3" customFormat="1" ht="21" customHeight="1" thickBot="1">
      <c r="A98" s="173" t="s">
        <v>107</v>
      </c>
      <c r="B98" s="174"/>
      <c r="C98" s="175"/>
      <c r="D98" s="176"/>
      <c r="E98" s="264"/>
      <c r="F98" s="177"/>
      <c r="G98" s="178"/>
      <c r="H98" s="177"/>
      <c r="I98" s="179"/>
      <c r="J98" s="180"/>
      <c r="K98" s="179"/>
      <c r="L98" s="111" t="e">
        <f t="shared" si="4"/>
        <v>#DIV/0!</v>
      </c>
      <c r="M98" s="111">
        <f t="shared" si="3"/>
        <v>0</v>
      </c>
      <c r="N98" s="111" t="str">
        <f t="shared" si="5"/>
        <v>-</v>
      </c>
    </row>
    <row r="99" spans="1:14" s="3" customFormat="1" ht="21" customHeight="1" thickTop="1">
      <c r="A99" s="156" t="s">
        <v>108</v>
      </c>
      <c r="B99" s="157"/>
      <c r="C99" s="158"/>
      <c r="D99" s="159"/>
      <c r="E99" s="260"/>
      <c r="F99" s="201"/>
      <c r="G99" s="202"/>
      <c r="H99" s="203"/>
      <c r="I99" s="163"/>
      <c r="J99" s="164"/>
      <c r="K99" s="163"/>
    </row>
    <row r="100" spans="1:14" s="3" customFormat="1" ht="21" customHeight="1">
      <c r="A100" s="156" t="s">
        <v>109</v>
      </c>
      <c r="B100" s="167"/>
      <c r="C100" s="168"/>
      <c r="D100" s="169"/>
      <c r="E100" s="261"/>
      <c r="F100" s="201"/>
      <c r="G100" s="202"/>
      <c r="H100" s="203"/>
      <c r="I100" s="163"/>
      <c r="J100" s="164"/>
      <c r="K100" s="163"/>
    </row>
    <row r="101" spans="1:14" s="3" customFormat="1" ht="21" customHeight="1">
      <c r="A101" s="156" t="s">
        <v>110</v>
      </c>
      <c r="B101" s="167"/>
      <c r="C101" s="168"/>
      <c r="D101" s="169"/>
      <c r="E101" s="261"/>
      <c r="F101" s="201"/>
      <c r="G101" s="202"/>
      <c r="H101" s="203"/>
      <c r="I101" s="163"/>
      <c r="J101" s="164"/>
      <c r="K101" s="163"/>
    </row>
    <row r="102" spans="1:14" s="3" customFormat="1" ht="21" customHeight="1">
      <c r="A102" s="156" t="s">
        <v>111</v>
      </c>
      <c r="B102" s="167"/>
      <c r="C102" s="168"/>
      <c r="D102" s="169"/>
      <c r="E102" s="261"/>
      <c r="F102" s="201"/>
      <c r="G102" s="202"/>
      <c r="H102" s="203"/>
      <c r="I102" s="163"/>
      <c r="J102" s="164"/>
      <c r="K102" s="163"/>
    </row>
    <row r="103" spans="1:14" s="3" customFormat="1" ht="21" customHeight="1">
      <c r="A103" s="156" t="s">
        <v>112</v>
      </c>
      <c r="B103" s="167"/>
      <c r="C103" s="168"/>
      <c r="D103" s="169"/>
      <c r="E103" s="261"/>
      <c r="F103" s="201"/>
      <c r="G103" s="202"/>
      <c r="H103" s="203"/>
      <c r="I103" s="163"/>
      <c r="J103" s="164"/>
      <c r="K103" s="163"/>
    </row>
    <row r="104" spans="1:14" s="3" customFormat="1" ht="21" customHeight="1">
      <c r="A104" s="156" t="s">
        <v>113</v>
      </c>
      <c r="B104" s="171"/>
      <c r="C104" s="194"/>
      <c r="D104" s="197"/>
      <c r="E104" s="262"/>
      <c r="F104" s="201"/>
      <c r="G104" s="202"/>
      <c r="H104" s="203"/>
      <c r="I104" s="163"/>
      <c r="J104" s="164"/>
      <c r="K104" s="163"/>
    </row>
    <row r="105" spans="1:14" s="3" customFormat="1" ht="21" customHeight="1">
      <c r="A105" s="156" t="s">
        <v>114</v>
      </c>
      <c r="B105" s="171"/>
      <c r="C105" s="194"/>
      <c r="D105" s="195"/>
      <c r="E105" s="263"/>
      <c r="F105" s="201"/>
      <c r="G105" s="202"/>
      <c r="H105" s="203"/>
      <c r="I105" s="163"/>
      <c r="J105" s="164"/>
      <c r="K105" s="163"/>
    </row>
    <row r="106" spans="1:14" s="3" customFormat="1" ht="21" customHeight="1">
      <c r="A106" s="156" t="s">
        <v>115</v>
      </c>
      <c r="B106" s="157"/>
      <c r="C106" s="172"/>
      <c r="D106" s="204"/>
      <c r="E106" s="266"/>
      <c r="F106" s="201"/>
      <c r="G106" s="202"/>
      <c r="H106" s="201"/>
      <c r="I106" s="163"/>
      <c r="J106" s="205"/>
      <c r="K106" s="163"/>
    </row>
    <row r="107" spans="1:14" s="3" customFormat="1" ht="21" customHeight="1">
      <c r="A107" s="156" t="s">
        <v>116</v>
      </c>
      <c r="B107" s="167"/>
      <c r="C107" s="172"/>
      <c r="D107" s="159"/>
      <c r="E107" s="260"/>
      <c r="F107" s="201"/>
      <c r="G107" s="202"/>
      <c r="H107" s="203"/>
      <c r="I107" s="163"/>
      <c r="J107" s="164"/>
      <c r="K107" s="163"/>
    </row>
    <row r="108" spans="1:14" s="3" customFormat="1" ht="21" customHeight="1">
      <c r="A108" s="156" t="s">
        <v>117</v>
      </c>
      <c r="B108" s="167"/>
      <c r="C108" s="158"/>
      <c r="D108" s="159"/>
      <c r="E108" s="260"/>
      <c r="F108" s="201"/>
      <c r="G108" s="202"/>
      <c r="H108" s="203"/>
      <c r="I108" s="163"/>
      <c r="J108" s="164"/>
      <c r="K108" s="163"/>
    </row>
    <row r="109" spans="1:14" s="3" customFormat="1" ht="21" customHeight="1">
      <c r="A109" s="156" t="s">
        <v>118</v>
      </c>
      <c r="B109" s="167"/>
      <c r="C109" s="158"/>
      <c r="D109" s="159"/>
      <c r="E109" s="260"/>
      <c r="F109" s="201"/>
      <c r="G109" s="202"/>
      <c r="H109" s="203"/>
      <c r="I109" s="163"/>
      <c r="J109" s="164"/>
      <c r="K109" s="163"/>
    </row>
    <row r="110" spans="1:14" s="3" customFormat="1" ht="21" customHeight="1">
      <c r="A110" s="156" t="s">
        <v>119</v>
      </c>
      <c r="B110" s="167"/>
      <c r="C110" s="158"/>
      <c r="D110" s="159"/>
      <c r="E110" s="260"/>
      <c r="F110" s="201"/>
      <c r="G110" s="202"/>
      <c r="H110" s="203"/>
      <c r="I110" s="163"/>
      <c r="J110" s="164"/>
      <c r="K110" s="163"/>
    </row>
    <row r="111" spans="1:14" s="3" customFormat="1" ht="21" customHeight="1">
      <c r="A111" s="156" t="s">
        <v>120</v>
      </c>
      <c r="B111" s="167"/>
      <c r="C111" s="158"/>
      <c r="D111" s="159"/>
      <c r="E111" s="260"/>
      <c r="F111" s="201"/>
      <c r="G111" s="202"/>
      <c r="H111" s="203"/>
      <c r="I111" s="163"/>
      <c r="J111" s="164"/>
      <c r="K111" s="163"/>
    </row>
    <row r="112" spans="1:14" s="3" customFormat="1" ht="21" customHeight="1">
      <c r="A112" s="156" t="s">
        <v>121</v>
      </c>
      <c r="B112" s="167"/>
      <c r="C112" s="158"/>
      <c r="D112" s="159"/>
      <c r="E112" s="26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62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66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6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6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6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6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6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62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63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66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6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62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62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62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62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62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62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66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6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6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63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6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62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62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62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66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63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267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267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267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267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267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267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66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68"/>
      <c r="F147" s="221"/>
      <c r="G147" s="222"/>
    </row>
    <row r="148" spans="1:11" s="112" customFormat="1">
      <c r="A148" s="216"/>
      <c r="B148" s="217"/>
      <c r="C148" s="218"/>
      <c r="D148" s="219"/>
      <c r="E148" s="268"/>
      <c r="F148" s="221"/>
      <c r="G148" s="222"/>
    </row>
    <row r="149" spans="1:11" s="112" customFormat="1">
      <c r="A149" s="216"/>
      <c r="B149" s="217"/>
      <c r="C149" s="218"/>
      <c r="D149" s="219"/>
      <c r="E149" s="268"/>
      <c r="F149" s="221"/>
      <c r="G149" s="222"/>
    </row>
    <row r="150" spans="1:11" s="112" customFormat="1">
      <c r="A150" s="216"/>
      <c r="B150" s="217"/>
      <c r="C150" s="218"/>
      <c r="D150" s="219"/>
      <c r="E150" s="268"/>
      <c r="F150" s="221"/>
      <c r="G150" s="222"/>
    </row>
    <row r="151" spans="1:11" s="112" customFormat="1">
      <c r="A151" s="216"/>
      <c r="B151" s="217"/>
      <c r="C151" s="218"/>
      <c r="D151" s="219"/>
      <c r="E151" s="268"/>
      <c r="F151" s="221"/>
      <c r="G151" s="222"/>
    </row>
    <row r="152" spans="1:11" s="112" customFormat="1">
      <c r="A152" s="216"/>
      <c r="B152" s="217"/>
      <c r="C152" s="218"/>
      <c r="D152" s="219"/>
      <c r="E152" s="268"/>
      <c r="F152" s="221"/>
      <c r="G152" s="222"/>
    </row>
    <row r="153" spans="1:11" s="112" customFormat="1">
      <c r="A153" s="216"/>
      <c r="B153" s="217"/>
      <c r="C153" s="218"/>
      <c r="D153" s="219"/>
      <c r="E153" s="268"/>
      <c r="F153" s="221"/>
      <c r="G153" s="222"/>
    </row>
    <row r="154" spans="1:11" s="112" customFormat="1">
      <c r="A154" s="216"/>
      <c r="B154" s="217"/>
      <c r="C154" s="218"/>
      <c r="D154" s="219"/>
      <c r="E154" s="268"/>
      <c r="F154" s="221"/>
      <c r="G154" s="222"/>
    </row>
    <row r="155" spans="1:11" s="112" customFormat="1">
      <c r="A155" s="216"/>
      <c r="B155" s="217"/>
      <c r="C155" s="218"/>
      <c r="D155" s="219"/>
      <c r="E155" s="268"/>
      <c r="F155" s="221"/>
      <c r="G155" s="222"/>
    </row>
    <row r="156" spans="1:11" s="112" customFormat="1">
      <c r="A156" s="216"/>
      <c r="B156" s="217"/>
      <c r="C156" s="218"/>
      <c r="D156" s="219"/>
      <c r="E156" s="268"/>
      <c r="F156" s="221"/>
      <c r="G156" s="222"/>
    </row>
    <row r="157" spans="1:11" s="112" customFormat="1">
      <c r="A157" s="216"/>
      <c r="B157" s="217"/>
      <c r="C157" s="218"/>
      <c r="D157" s="219"/>
      <c r="E157" s="268"/>
      <c r="F157" s="221"/>
      <c r="G157" s="222"/>
    </row>
    <row r="158" spans="1:11" s="112" customFormat="1">
      <c r="A158" s="216"/>
      <c r="B158" s="217"/>
      <c r="C158" s="218"/>
      <c r="D158" s="219"/>
      <c r="E158" s="268"/>
      <c r="F158" s="221"/>
      <c r="G158" s="222"/>
    </row>
    <row r="159" spans="1:11" s="112" customFormat="1">
      <c r="A159" s="216"/>
      <c r="B159" s="217"/>
      <c r="C159" s="218"/>
      <c r="D159" s="219"/>
      <c r="E159" s="268"/>
      <c r="F159" s="221"/>
      <c r="G159" s="222"/>
    </row>
    <row r="160" spans="1:11" s="112" customFormat="1">
      <c r="A160" s="216"/>
      <c r="B160" s="217"/>
      <c r="C160" s="218"/>
      <c r="D160" s="219"/>
      <c r="E160" s="268"/>
      <c r="F160" s="221"/>
      <c r="G160" s="222"/>
    </row>
    <row r="161" spans="1:7" s="112" customFormat="1">
      <c r="A161" s="216"/>
      <c r="B161" s="217"/>
      <c r="C161" s="218"/>
      <c r="D161" s="219"/>
      <c r="E161" s="268"/>
      <c r="F161" s="221"/>
      <c r="G161" s="222"/>
    </row>
    <row r="162" spans="1:7" s="112" customFormat="1">
      <c r="A162" s="216"/>
      <c r="B162" s="217"/>
      <c r="C162" s="218"/>
      <c r="D162" s="219"/>
      <c r="E162" s="268"/>
      <c r="F162" s="221"/>
      <c r="G162" s="222"/>
    </row>
    <row r="163" spans="1:7" s="112" customFormat="1">
      <c r="A163" s="216"/>
      <c r="B163" s="217"/>
      <c r="C163" s="218"/>
      <c r="D163" s="219"/>
      <c r="E163" s="268"/>
      <c r="F163" s="221"/>
      <c r="G163" s="222"/>
    </row>
    <row r="164" spans="1:7" s="112" customFormat="1">
      <c r="A164" s="216"/>
      <c r="B164" s="217"/>
      <c r="C164" s="218"/>
      <c r="D164" s="219"/>
      <c r="E164" s="268"/>
      <c r="F164" s="221"/>
      <c r="G164" s="222"/>
    </row>
    <row r="165" spans="1:7" s="112" customFormat="1">
      <c r="A165" s="216"/>
      <c r="B165" s="217"/>
      <c r="C165" s="218"/>
      <c r="D165" s="219"/>
      <c r="E165" s="268"/>
      <c r="F165" s="221"/>
      <c r="G165" s="222"/>
    </row>
    <row r="166" spans="1:7" s="112" customFormat="1">
      <c r="A166" s="216"/>
      <c r="B166" s="217"/>
      <c r="C166" s="218"/>
      <c r="D166" s="219"/>
      <c r="E166" s="268"/>
      <c r="F166" s="221"/>
      <c r="G166" s="222"/>
    </row>
    <row r="167" spans="1:7" s="112" customFormat="1">
      <c r="A167" s="216"/>
      <c r="B167" s="217"/>
      <c r="C167" s="218"/>
      <c r="D167" s="219"/>
      <c r="E167" s="268"/>
      <c r="F167" s="221"/>
      <c r="G167" s="222"/>
    </row>
    <row r="168" spans="1:7" s="112" customFormat="1">
      <c r="A168" s="216"/>
      <c r="B168" s="217"/>
      <c r="C168" s="218"/>
      <c r="D168" s="219"/>
      <c r="E168" s="268"/>
      <c r="F168" s="221"/>
      <c r="G168" s="222"/>
    </row>
    <row r="169" spans="1:7" s="112" customFormat="1">
      <c r="A169" s="216"/>
      <c r="B169" s="217"/>
      <c r="C169" s="218"/>
      <c r="D169" s="219"/>
      <c r="E169" s="268"/>
      <c r="F169" s="221"/>
      <c r="G169" s="222"/>
    </row>
    <row r="170" spans="1:7" s="112" customFormat="1">
      <c r="A170" s="216"/>
      <c r="B170" s="217"/>
      <c r="C170" s="218"/>
      <c r="D170" s="219"/>
      <c r="E170" s="268"/>
      <c r="F170" s="221"/>
      <c r="G170" s="222"/>
    </row>
    <row r="171" spans="1:7" s="112" customFormat="1">
      <c r="A171" s="216"/>
      <c r="B171" s="217"/>
      <c r="C171" s="218"/>
      <c r="D171" s="219"/>
      <c r="E171" s="268"/>
      <c r="F171" s="221"/>
      <c r="G171" s="222"/>
    </row>
    <row r="172" spans="1:7" s="112" customFormat="1">
      <c r="A172" s="216"/>
      <c r="B172" s="217"/>
      <c r="C172" s="218"/>
      <c r="D172" s="219"/>
      <c r="E172" s="268"/>
      <c r="F172" s="221"/>
      <c r="G172" s="222"/>
    </row>
    <row r="173" spans="1:7" s="112" customFormat="1">
      <c r="A173" s="216"/>
      <c r="B173" s="217"/>
      <c r="C173" s="218"/>
      <c r="D173" s="219"/>
      <c r="E173" s="268"/>
      <c r="F173" s="221"/>
      <c r="G173" s="222"/>
    </row>
    <row r="174" spans="1:7" s="112" customFormat="1">
      <c r="A174" s="216"/>
      <c r="B174" s="217"/>
      <c r="C174" s="218"/>
      <c r="D174" s="219"/>
      <c r="E174" s="268"/>
      <c r="F174" s="221"/>
      <c r="G174" s="222"/>
    </row>
    <row r="175" spans="1:7" s="112" customFormat="1">
      <c r="A175" s="216"/>
      <c r="B175" s="217"/>
      <c r="C175" s="218"/>
      <c r="D175" s="219"/>
      <c r="E175" s="268"/>
      <c r="F175" s="221"/>
      <c r="G175" s="222"/>
    </row>
    <row r="176" spans="1:7" s="112" customFormat="1">
      <c r="A176" s="216"/>
      <c r="B176" s="217"/>
      <c r="C176" s="218"/>
      <c r="D176" s="219"/>
      <c r="E176" s="268"/>
      <c r="F176" s="221"/>
      <c r="G176" s="222"/>
    </row>
    <row r="177" spans="1:7" s="112" customFormat="1">
      <c r="A177" s="216"/>
      <c r="B177" s="217"/>
      <c r="C177" s="218"/>
      <c r="D177" s="219"/>
      <c r="E177" s="268"/>
      <c r="F177" s="221"/>
      <c r="G177" s="222"/>
    </row>
    <row r="178" spans="1:7" s="112" customFormat="1">
      <c r="A178" s="216"/>
      <c r="B178" s="217"/>
      <c r="C178" s="218"/>
      <c r="D178" s="219"/>
      <c r="E178" s="268"/>
      <c r="F178" s="221"/>
      <c r="G178" s="222"/>
    </row>
    <row r="179" spans="1:7" s="112" customFormat="1">
      <c r="A179" s="216"/>
      <c r="B179" s="217"/>
      <c r="C179" s="218"/>
      <c r="D179" s="219"/>
      <c r="E179" s="268"/>
      <c r="F179" s="221"/>
      <c r="G179" s="222"/>
    </row>
    <row r="180" spans="1:7" s="112" customFormat="1">
      <c r="A180" s="216"/>
      <c r="B180" s="217"/>
      <c r="C180" s="218"/>
      <c r="D180" s="219"/>
      <c r="E180" s="268"/>
      <c r="F180" s="221"/>
      <c r="G180" s="222"/>
    </row>
    <row r="181" spans="1:7" s="112" customFormat="1">
      <c r="A181" s="216"/>
      <c r="B181" s="217"/>
      <c r="C181" s="218"/>
      <c r="D181" s="219"/>
      <c r="E181" s="268"/>
      <c r="F181" s="221"/>
      <c r="G181" s="222"/>
    </row>
    <row r="182" spans="1:7" s="112" customFormat="1">
      <c r="A182" s="216"/>
      <c r="B182" s="217"/>
      <c r="C182" s="218"/>
      <c r="D182" s="219"/>
      <c r="E182" s="268"/>
      <c r="F182" s="221"/>
      <c r="G182" s="222"/>
    </row>
    <row r="183" spans="1:7" s="112" customFormat="1">
      <c r="A183" s="216"/>
      <c r="B183" s="217"/>
      <c r="C183" s="218"/>
      <c r="D183" s="219"/>
      <c r="E183" s="268"/>
      <c r="F183" s="221"/>
      <c r="G183" s="222"/>
    </row>
    <row r="184" spans="1:7" s="112" customFormat="1">
      <c r="A184" s="216"/>
      <c r="B184" s="217"/>
      <c r="C184" s="218"/>
      <c r="D184" s="219"/>
      <c r="E184" s="268"/>
      <c r="F184" s="221"/>
      <c r="G184" s="222"/>
    </row>
    <row r="185" spans="1:7" s="112" customFormat="1">
      <c r="A185" s="216"/>
      <c r="B185" s="217"/>
      <c r="C185" s="218"/>
      <c r="D185" s="219"/>
      <c r="E185" s="268"/>
      <c r="F185" s="221"/>
      <c r="G185" s="222"/>
    </row>
    <row r="186" spans="1:7" s="112" customFormat="1">
      <c r="A186" s="216"/>
      <c r="B186" s="217"/>
      <c r="C186" s="218"/>
      <c r="D186" s="219"/>
      <c r="E186" s="268"/>
      <c r="F186" s="221"/>
      <c r="G186" s="222"/>
    </row>
    <row r="187" spans="1:7" s="112" customFormat="1">
      <c r="A187" s="216"/>
      <c r="B187" s="217"/>
      <c r="C187" s="218"/>
      <c r="D187" s="219"/>
      <c r="E187" s="268"/>
      <c r="F187" s="221"/>
      <c r="G187" s="222"/>
    </row>
    <row r="188" spans="1:7" s="112" customFormat="1">
      <c r="A188" s="216"/>
      <c r="B188" s="217"/>
      <c r="C188" s="218"/>
      <c r="D188" s="219"/>
      <c r="E188" s="268"/>
      <c r="F188" s="221"/>
      <c r="G188" s="222"/>
    </row>
    <row r="189" spans="1:7" s="112" customFormat="1">
      <c r="A189" s="216"/>
      <c r="B189" s="217"/>
      <c r="C189" s="218"/>
      <c r="D189" s="219"/>
      <c r="E189" s="268"/>
      <c r="F189" s="221"/>
      <c r="G189" s="222"/>
    </row>
    <row r="190" spans="1:7" s="112" customFormat="1">
      <c r="A190" s="216"/>
      <c r="B190" s="217"/>
      <c r="C190" s="218"/>
      <c r="D190" s="219"/>
      <c r="E190" s="268"/>
      <c r="F190" s="221"/>
      <c r="G190" s="222"/>
    </row>
    <row r="191" spans="1:7" s="112" customFormat="1">
      <c r="A191" s="216"/>
      <c r="B191" s="217"/>
      <c r="C191" s="218"/>
      <c r="D191" s="219"/>
      <c r="E191" s="268"/>
      <c r="F191" s="221"/>
      <c r="G191" s="222"/>
    </row>
    <row r="192" spans="1:7" s="112" customFormat="1">
      <c r="A192" s="216"/>
      <c r="B192" s="217"/>
      <c r="C192" s="218"/>
      <c r="D192" s="219"/>
      <c r="E192" s="268"/>
      <c r="F192" s="221"/>
      <c r="G192" s="222"/>
    </row>
    <row r="193" spans="1:7" s="112" customFormat="1">
      <c r="A193" s="216"/>
      <c r="B193" s="217"/>
      <c r="C193" s="218"/>
      <c r="D193" s="219"/>
      <c r="E193" s="268"/>
      <c r="F193" s="221"/>
      <c r="G193" s="222"/>
    </row>
    <row r="194" spans="1:7" s="112" customFormat="1">
      <c r="A194" s="216"/>
      <c r="B194" s="217"/>
      <c r="C194" s="218"/>
      <c r="D194" s="219"/>
      <c r="E194" s="268"/>
      <c r="F194" s="221"/>
      <c r="G194" s="222"/>
    </row>
    <row r="195" spans="1:7" s="112" customFormat="1">
      <c r="A195" s="216"/>
      <c r="B195" s="217"/>
      <c r="C195" s="218"/>
      <c r="D195" s="219"/>
      <c r="E195" s="268"/>
      <c r="F195" s="221"/>
      <c r="G195" s="222"/>
    </row>
    <row r="196" spans="1:7" s="112" customFormat="1">
      <c r="A196" s="216"/>
      <c r="B196" s="217"/>
      <c r="C196" s="218"/>
      <c r="D196" s="219"/>
      <c r="E196" s="268"/>
      <c r="F196" s="221"/>
      <c r="G196" s="222"/>
    </row>
    <row r="197" spans="1:7" s="112" customFormat="1">
      <c r="A197" s="216"/>
      <c r="B197" s="217"/>
      <c r="C197" s="218"/>
      <c r="D197" s="219"/>
      <c r="E197" s="268"/>
      <c r="F197" s="221"/>
      <c r="G197" s="222"/>
    </row>
    <row r="198" spans="1:7" s="112" customFormat="1">
      <c r="A198" s="216"/>
      <c r="B198" s="217"/>
      <c r="C198" s="218"/>
      <c r="D198" s="219"/>
      <c r="E198" s="268"/>
      <c r="F198" s="221"/>
      <c r="G198" s="222"/>
    </row>
    <row r="199" spans="1:7" s="112" customFormat="1">
      <c r="A199" s="216"/>
      <c r="B199" s="217"/>
      <c r="C199" s="218"/>
      <c r="D199" s="219"/>
      <c r="E199" s="268"/>
      <c r="F199" s="221"/>
      <c r="G199" s="222"/>
    </row>
    <row r="200" spans="1:7" s="112" customFormat="1">
      <c r="A200" s="216"/>
      <c r="B200" s="217"/>
      <c r="C200" s="218"/>
      <c r="D200" s="219"/>
      <c r="E200" s="268"/>
      <c r="F200" s="221"/>
      <c r="G200" s="222"/>
    </row>
    <row r="201" spans="1:7" s="112" customFormat="1">
      <c r="A201" s="216"/>
      <c r="B201" s="217"/>
      <c r="C201" s="218"/>
      <c r="D201" s="219"/>
      <c r="E201" s="268"/>
      <c r="F201" s="221"/>
      <c r="G201" s="222"/>
    </row>
    <row r="202" spans="1:7" s="112" customFormat="1">
      <c r="A202" s="216"/>
      <c r="B202" s="217"/>
      <c r="C202" s="218"/>
      <c r="D202" s="219"/>
      <c r="E202" s="268"/>
      <c r="F202" s="221"/>
      <c r="G202" s="222"/>
    </row>
    <row r="203" spans="1:7" s="112" customFormat="1">
      <c r="A203" s="216"/>
      <c r="B203" s="217"/>
      <c r="C203" s="218"/>
      <c r="D203" s="219"/>
      <c r="E203" s="268"/>
      <c r="F203" s="221"/>
      <c r="G203" s="222"/>
    </row>
    <row r="204" spans="1:7" s="112" customFormat="1">
      <c r="A204" s="216"/>
      <c r="B204" s="217"/>
      <c r="C204" s="218"/>
      <c r="D204" s="219"/>
      <c r="E204" s="268"/>
      <c r="F204" s="221"/>
      <c r="G204" s="222"/>
    </row>
    <row r="205" spans="1:7" s="112" customFormat="1">
      <c r="A205" s="216"/>
      <c r="B205" s="217"/>
      <c r="C205" s="218"/>
      <c r="D205" s="219"/>
      <c r="E205" s="268"/>
      <c r="F205" s="221"/>
      <c r="G205" s="222"/>
    </row>
    <row r="206" spans="1:7" s="112" customFormat="1">
      <c r="A206" s="216"/>
      <c r="B206" s="217"/>
      <c r="C206" s="218"/>
      <c r="D206" s="219"/>
      <c r="E206" s="268"/>
      <c r="F206" s="221"/>
      <c r="G206" s="222"/>
    </row>
    <row r="207" spans="1:7" s="112" customFormat="1">
      <c r="A207" s="216"/>
      <c r="B207" s="217"/>
      <c r="C207" s="218"/>
      <c r="D207" s="219"/>
      <c r="E207" s="268"/>
      <c r="F207" s="221"/>
      <c r="G207" s="222"/>
    </row>
    <row r="208" spans="1:7" s="112" customFormat="1">
      <c r="A208" s="216"/>
      <c r="B208" s="217"/>
      <c r="C208" s="218"/>
      <c r="D208" s="219"/>
      <c r="E208" s="268"/>
      <c r="F208" s="221"/>
      <c r="G208" s="222"/>
    </row>
    <row r="209" spans="1:7" s="112" customFormat="1">
      <c r="A209" s="216"/>
      <c r="B209" s="217"/>
      <c r="C209" s="218"/>
      <c r="D209" s="219"/>
      <c r="E209" s="268"/>
      <c r="F209" s="221"/>
      <c r="G209" s="222"/>
    </row>
    <row r="210" spans="1:7" s="112" customFormat="1">
      <c r="A210" s="216"/>
      <c r="B210" s="217"/>
      <c r="C210" s="218"/>
      <c r="D210" s="219"/>
      <c r="E210" s="268"/>
      <c r="F210" s="221"/>
      <c r="G210" s="222"/>
    </row>
    <row r="211" spans="1:7" s="112" customFormat="1">
      <c r="A211" s="216"/>
      <c r="B211" s="217"/>
      <c r="C211" s="218"/>
      <c r="D211" s="219"/>
      <c r="E211" s="268"/>
      <c r="F211" s="221"/>
      <c r="G211" s="222"/>
    </row>
    <row r="212" spans="1:7" s="112" customFormat="1">
      <c r="A212" s="216"/>
      <c r="B212" s="217"/>
      <c r="C212" s="218"/>
      <c r="D212" s="219"/>
      <c r="E212" s="268"/>
      <c r="F212" s="221"/>
      <c r="G212" s="222"/>
    </row>
    <row r="213" spans="1:7" s="112" customFormat="1">
      <c r="A213" s="216"/>
      <c r="B213" s="217"/>
      <c r="C213" s="218"/>
      <c r="D213" s="219"/>
      <c r="E213" s="268"/>
      <c r="F213" s="221"/>
      <c r="G213" s="222"/>
    </row>
    <row r="214" spans="1:7" s="112" customFormat="1">
      <c r="A214" s="216"/>
      <c r="B214" s="217"/>
      <c r="C214" s="218"/>
      <c r="D214" s="219"/>
      <c r="E214" s="268"/>
      <c r="F214" s="221"/>
      <c r="G214" s="222"/>
    </row>
    <row r="215" spans="1:7" s="112" customFormat="1">
      <c r="A215" s="216"/>
      <c r="B215" s="217"/>
      <c r="C215" s="218"/>
      <c r="D215" s="219"/>
      <c r="E215" s="268"/>
      <c r="F215" s="221"/>
      <c r="G215" s="222"/>
    </row>
    <row r="216" spans="1:7" s="112" customFormat="1">
      <c r="A216" s="216"/>
      <c r="B216" s="217"/>
      <c r="C216" s="218"/>
      <c r="D216" s="219"/>
      <c r="E216" s="268"/>
      <c r="F216" s="221"/>
      <c r="G216" s="222"/>
    </row>
    <row r="217" spans="1:7" s="112" customFormat="1">
      <c r="A217" s="216"/>
      <c r="B217" s="217"/>
      <c r="C217" s="218"/>
      <c r="D217" s="219"/>
      <c r="E217" s="268"/>
      <c r="F217" s="221"/>
      <c r="G217" s="222"/>
    </row>
    <row r="218" spans="1:7" s="112" customFormat="1">
      <c r="A218" s="216"/>
      <c r="B218" s="217"/>
      <c r="C218" s="218"/>
      <c r="D218" s="219"/>
      <c r="E218" s="268"/>
      <c r="F218" s="221"/>
      <c r="G218" s="222"/>
    </row>
    <row r="219" spans="1:7" s="112" customFormat="1">
      <c r="A219" s="216"/>
      <c r="B219" s="217"/>
      <c r="C219" s="218"/>
      <c r="D219" s="219"/>
      <c r="E219" s="268"/>
      <c r="F219" s="221"/>
      <c r="G219" s="222"/>
    </row>
    <row r="220" spans="1:7" s="112" customFormat="1">
      <c r="A220" s="216"/>
      <c r="B220" s="217"/>
      <c r="C220" s="218"/>
      <c r="D220" s="219"/>
      <c r="E220" s="268"/>
      <c r="F220" s="221"/>
      <c r="G220" s="222"/>
    </row>
    <row r="221" spans="1:7" s="112" customFormat="1">
      <c r="A221" s="216"/>
      <c r="B221" s="217"/>
      <c r="C221" s="218"/>
      <c r="D221" s="219"/>
      <c r="E221" s="268"/>
      <c r="F221" s="221"/>
      <c r="G221" s="222"/>
    </row>
    <row r="222" spans="1:7" s="112" customFormat="1">
      <c r="A222" s="216"/>
      <c r="B222" s="217"/>
      <c r="C222" s="218"/>
      <c r="D222" s="219"/>
      <c r="E222" s="268"/>
      <c r="F222" s="221"/>
      <c r="G222" s="222"/>
    </row>
    <row r="223" spans="1:7" s="112" customFormat="1">
      <c r="A223" s="216"/>
      <c r="B223" s="217"/>
      <c r="C223" s="218"/>
      <c r="D223" s="219"/>
      <c r="E223" s="268"/>
      <c r="F223" s="221"/>
      <c r="G223" s="222"/>
    </row>
    <row r="224" spans="1:7" s="112" customFormat="1">
      <c r="A224" s="216"/>
      <c r="B224" s="217"/>
      <c r="C224" s="218"/>
      <c r="D224" s="219"/>
      <c r="E224" s="268"/>
      <c r="F224" s="221"/>
      <c r="G224" s="222"/>
    </row>
    <row r="225" spans="1:7" s="112" customFormat="1">
      <c r="A225" s="216"/>
      <c r="B225" s="217"/>
      <c r="C225" s="218"/>
      <c r="D225" s="219"/>
      <c r="E225" s="268"/>
      <c r="F225" s="221"/>
      <c r="G225" s="222"/>
    </row>
    <row r="226" spans="1:7" s="112" customFormat="1">
      <c r="A226" s="216"/>
      <c r="B226" s="217"/>
      <c r="C226" s="218"/>
      <c r="D226" s="219"/>
      <c r="E226" s="268"/>
      <c r="F226" s="221"/>
      <c r="G226" s="222"/>
    </row>
    <row r="227" spans="1:7" s="112" customFormat="1">
      <c r="A227" s="216"/>
      <c r="B227" s="217"/>
      <c r="C227" s="218"/>
      <c r="D227" s="219"/>
      <c r="E227" s="268"/>
      <c r="F227" s="221"/>
      <c r="G227" s="222"/>
    </row>
    <row r="228" spans="1:7" s="112" customFormat="1">
      <c r="A228" s="216"/>
      <c r="B228" s="217"/>
      <c r="C228" s="218"/>
      <c r="D228" s="219"/>
      <c r="E228" s="268"/>
      <c r="F228" s="221"/>
      <c r="G228" s="222"/>
    </row>
    <row r="229" spans="1:7" s="112" customFormat="1">
      <c r="A229" s="216"/>
      <c r="B229" s="217"/>
      <c r="C229" s="218"/>
      <c r="D229" s="219"/>
      <c r="E229" s="268"/>
      <c r="F229" s="221"/>
      <c r="G229" s="222"/>
    </row>
    <row r="230" spans="1:7" s="112" customFormat="1">
      <c r="A230" s="216"/>
      <c r="B230" s="217"/>
      <c r="C230" s="218"/>
      <c r="D230" s="219"/>
      <c r="E230" s="268"/>
      <c r="F230" s="221"/>
      <c r="G230" s="222"/>
    </row>
    <row r="231" spans="1:7" s="112" customFormat="1">
      <c r="A231" s="216"/>
      <c r="B231" s="217"/>
      <c r="C231" s="218"/>
      <c r="D231" s="219"/>
      <c r="E231" s="268"/>
      <c r="F231" s="221"/>
      <c r="G231" s="222"/>
    </row>
    <row r="232" spans="1:7" s="112" customFormat="1">
      <c r="A232" s="216"/>
      <c r="B232" s="217"/>
      <c r="C232" s="218"/>
      <c r="D232" s="219"/>
      <c r="E232" s="268"/>
      <c r="F232" s="221"/>
      <c r="G232" s="222"/>
    </row>
    <row r="233" spans="1:7" s="112" customFormat="1">
      <c r="A233" s="216"/>
      <c r="B233" s="217"/>
      <c r="C233" s="218"/>
      <c r="D233" s="219"/>
      <c r="E233" s="268"/>
      <c r="F233" s="221"/>
      <c r="G233" s="222"/>
    </row>
    <row r="234" spans="1:7" s="112" customFormat="1">
      <c r="A234" s="216"/>
      <c r="B234" s="217"/>
      <c r="C234" s="218"/>
      <c r="D234" s="219"/>
      <c r="E234" s="268"/>
      <c r="F234" s="221"/>
      <c r="G234" s="222"/>
    </row>
    <row r="235" spans="1:7" s="112" customFormat="1">
      <c r="A235" s="216"/>
      <c r="B235" s="217"/>
      <c r="C235" s="218"/>
      <c r="D235" s="219"/>
      <c r="E235" s="268"/>
      <c r="F235" s="221"/>
      <c r="G235" s="222"/>
    </row>
    <row r="236" spans="1:7" s="112" customFormat="1">
      <c r="A236" s="216"/>
      <c r="B236" s="217"/>
      <c r="C236" s="218"/>
      <c r="D236" s="219"/>
      <c r="E236" s="268"/>
      <c r="F236" s="221"/>
      <c r="G236" s="222"/>
    </row>
    <row r="237" spans="1:7" s="112" customFormat="1">
      <c r="A237" s="216"/>
      <c r="B237" s="217"/>
      <c r="C237" s="218"/>
      <c r="D237" s="219"/>
      <c r="E237" s="268"/>
      <c r="F237" s="221"/>
      <c r="G237" s="222"/>
    </row>
    <row r="238" spans="1:7" s="112" customFormat="1">
      <c r="A238" s="216"/>
      <c r="B238" s="217"/>
      <c r="C238" s="218"/>
      <c r="D238" s="219"/>
      <c r="E238" s="268"/>
      <c r="F238" s="221"/>
      <c r="G238" s="222"/>
    </row>
    <row r="239" spans="1:7" s="112" customFormat="1">
      <c r="A239" s="216"/>
      <c r="B239" s="217"/>
      <c r="C239" s="218"/>
      <c r="D239" s="219"/>
      <c r="E239" s="268"/>
      <c r="F239" s="221"/>
      <c r="G239" s="222"/>
    </row>
    <row r="240" spans="1:7" s="112" customFormat="1">
      <c r="A240" s="216"/>
      <c r="B240" s="217"/>
      <c r="C240" s="218"/>
      <c r="D240" s="219"/>
      <c r="E240" s="268"/>
      <c r="F240" s="221"/>
      <c r="G240" s="222"/>
    </row>
    <row r="241" spans="1:7" s="112" customFormat="1">
      <c r="A241" s="216"/>
      <c r="B241" s="217"/>
      <c r="C241" s="218"/>
      <c r="D241" s="219"/>
      <c r="E241" s="268"/>
      <c r="F241" s="221"/>
      <c r="G241" s="222"/>
    </row>
    <row r="242" spans="1:7" s="112" customFormat="1">
      <c r="A242" s="216"/>
      <c r="B242" s="217"/>
      <c r="C242" s="218"/>
      <c r="D242" s="219"/>
      <c r="E242" s="268"/>
      <c r="F242" s="221"/>
      <c r="G242" s="222"/>
    </row>
    <row r="243" spans="1:7" s="112" customFormat="1">
      <c r="A243" s="216"/>
      <c r="B243" s="217"/>
      <c r="C243" s="218"/>
      <c r="D243" s="219"/>
      <c r="E243" s="268"/>
      <c r="F243" s="221"/>
      <c r="G243" s="222"/>
    </row>
    <row r="244" spans="1:7" s="112" customFormat="1">
      <c r="A244" s="216"/>
      <c r="B244" s="217"/>
      <c r="C244" s="218"/>
      <c r="D244" s="219"/>
      <c r="E244" s="268"/>
      <c r="F244" s="221"/>
      <c r="G244" s="222"/>
    </row>
    <row r="245" spans="1:7" s="112" customFormat="1">
      <c r="A245" s="216"/>
      <c r="B245" s="217"/>
      <c r="C245" s="218"/>
      <c r="D245" s="219"/>
      <c r="E245" s="268"/>
      <c r="F245" s="221"/>
      <c r="G245" s="222"/>
    </row>
    <row r="246" spans="1:7" s="112" customFormat="1">
      <c r="A246" s="216"/>
      <c r="B246" s="217"/>
      <c r="C246" s="218"/>
      <c r="D246" s="219"/>
      <c r="E246" s="268"/>
      <c r="F246" s="221"/>
      <c r="G246" s="222"/>
    </row>
    <row r="247" spans="1:7" s="112" customFormat="1">
      <c r="A247" s="216"/>
      <c r="B247" s="217"/>
      <c r="C247" s="218"/>
      <c r="D247" s="219"/>
      <c r="E247" s="268"/>
      <c r="F247" s="221"/>
      <c r="G247" s="222"/>
    </row>
    <row r="248" spans="1:7" s="112" customFormat="1">
      <c r="A248" s="216"/>
      <c r="B248" s="217"/>
      <c r="C248" s="218"/>
      <c r="D248" s="219"/>
      <c r="E248" s="268"/>
      <c r="F248" s="221"/>
      <c r="G248" s="222"/>
    </row>
    <row r="249" spans="1:7" s="112" customFormat="1">
      <c r="A249" s="216"/>
      <c r="B249" s="217"/>
      <c r="C249" s="218"/>
      <c r="D249" s="219"/>
      <c r="E249" s="268"/>
      <c r="F249" s="221"/>
      <c r="G249" s="222"/>
    </row>
    <row r="250" spans="1:7" s="112" customFormat="1">
      <c r="A250" s="216"/>
      <c r="B250" s="217"/>
      <c r="C250" s="218"/>
      <c r="D250" s="219"/>
      <c r="E250" s="268"/>
      <c r="F250" s="221"/>
      <c r="G250" s="222"/>
    </row>
    <row r="251" spans="1:7" s="112" customFormat="1">
      <c r="A251" s="216"/>
      <c r="B251" s="217"/>
      <c r="C251" s="218"/>
      <c r="D251" s="219"/>
      <c r="E251" s="268"/>
      <c r="F251" s="221"/>
      <c r="G251" s="222"/>
    </row>
    <row r="252" spans="1:7" s="112" customFormat="1">
      <c r="A252" s="216"/>
      <c r="B252" s="217"/>
      <c r="C252" s="218"/>
      <c r="D252" s="219"/>
      <c r="E252" s="268"/>
      <c r="F252" s="221"/>
      <c r="G252" s="222"/>
    </row>
    <row r="253" spans="1:7" s="112" customFormat="1">
      <c r="A253" s="216"/>
      <c r="B253" s="217"/>
      <c r="C253" s="218"/>
      <c r="D253" s="219"/>
      <c r="E253" s="268"/>
      <c r="F253" s="221"/>
      <c r="G253" s="222"/>
    </row>
    <row r="254" spans="1:7" s="112" customFormat="1">
      <c r="A254" s="216"/>
      <c r="B254" s="217"/>
      <c r="C254" s="218"/>
      <c r="D254" s="219"/>
      <c r="E254" s="268"/>
      <c r="F254" s="221"/>
      <c r="G254" s="222"/>
    </row>
    <row r="255" spans="1:7" s="112" customFormat="1">
      <c r="A255" s="216"/>
      <c r="B255" s="217"/>
      <c r="C255" s="218"/>
      <c r="D255" s="219"/>
      <c r="E255" s="268"/>
      <c r="F255" s="221"/>
      <c r="G255" s="222"/>
    </row>
    <row r="256" spans="1:7" s="112" customFormat="1">
      <c r="A256" s="216"/>
      <c r="B256" s="217"/>
      <c r="C256" s="218"/>
      <c r="D256" s="219"/>
      <c r="E256" s="268"/>
      <c r="F256" s="221"/>
      <c r="G256" s="222"/>
    </row>
    <row r="257" spans="1:7" s="112" customFormat="1">
      <c r="A257" s="216"/>
      <c r="B257" s="217"/>
      <c r="C257" s="218"/>
      <c r="D257" s="219"/>
      <c r="E257" s="268"/>
      <c r="F257" s="221"/>
      <c r="G257" s="222"/>
    </row>
    <row r="258" spans="1:7" s="112" customFormat="1">
      <c r="A258" s="216"/>
      <c r="B258" s="217"/>
      <c r="C258" s="218"/>
      <c r="D258" s="219"/>
      <c r="E258" s="268"/>
      <c r="F258" s="221"/>
      <c r="G258" s="222"/>
    </row>
    <row r="259" spans="1:7" s="112" customFormat="1">
      <c r="A259" s="216"/>
      <c r="B259" s="217"/>
      <c r="C259" s="218"/>
      <c r="D259" s="219"/>
      <c r="E259" s="268"/>
      <c r="F259" s="221"/>
      <c r="G259" s="222"/>
    </row>
    <row r="260" spans="1:7" s="112" customFormat="1">
      <c r="A260" s="216"/>
      <c r="B260" s="217"/>
      <c r="C260" s="218"/>
      <c r="D260" s="219"/>
      <c r="E260" s="268"/>
      <c r="F260" s="221"/>
      <c r="G260" s="222"/>
    </row>
    <row r="261" spans="1:7" s="112" customFormat="1">
      <c r="A261" s="216"/>
      <c r="B261" s="217"/>
      <c r="C261" s="218"/>
      <c r="D261" s="219"/>
      <c r="E261" s="268"/>
      <c r="F261" s="221"/>
      <c r="G261" s="222"/>
    </row>
    <row r="262" spans="1:7" s="112" customFormat="1">
      <c r="A262" s="216"/>
      <c r="B262" s="217"/>
      <c r="C262" s="218"/>
      <c r="D262" s="219"/>
      <c r="E262" s="268"/>
      <c r="F262" s="221"/>
      <c r="G262" s="222"/>
    </row>
    <row r="263" spans="1:7" s="112" customFormat="1">
      <c r="A263" s="216"/>
      <c r="B263" s="217"/>
      <c r="C263" s="218"/>
      <c r="D263" s="219"/>
      <c r="E263" s="268"/>
      <c r="F263" s="221"/>
      <c r="G263" s="222"/>
    </row>
    <row r="264" spans="1:7" s="112" customFormat="1">
      <c r="A264" s="216"/>
      <c r="B264" s="217"/>
      <c r="C264" s="218"/>
      <c r="D264" s="219"/>
      <c r="E264" s="268"/>
      <c r="F264" s="221"/>
      <c r="G264" s="222"/>
    </row>
    <row r="265" spans="1:7" s="112" customFormat="1">
      <c r="A265" s="216"/>
      <c r="B265" s="217"/>
      <c r="C265" s="218"/>
      <c r="D265" s="219"/>
      <c r="E265" s="268"/>
      <c r="F265" s="221"/>
      <c r="G265" s="222"/>
    </row>
    <row r="266" spans="1:7" s="112" customFormat="1">
      <c r="A266" s="216"/>
      <c r="B266" s="217"/>
      <c r="C266" s="218"/>
      <c r="D266" s="219"/>
      <c r="E266" s="268"/>
      <c r="F266" s="221"/>
      <c r="G266" s="222"/>
    </row>
    <row r="267" spans="1:7" s="112" customFormat="1">
      <c r="A267" s="216"/>
      <c r="B267" s="217"/>
      <c r="C267" s="218"/>
      <c r="D267" s="219"/>
      <c r="E267" s="268"/>
      <c r="F267" s="221"/>
      <c r="G267" s="222"/>
    </row>
    <row r="268" spans="1:7" s="112" customFormat="1">
      <c r="A268" s="216"/>
      <c r="B268" s="217"/>
      <c r="C268" s="218"/>
      <c r="D268" s="219"/>
      <c r="E268" s="268"/>
      <c r="F268" s="221"/>
      <c r="G268" s="222"/>
    </row>
    <row r="269" spans="1:7" s="112" customFormat="1">
      <c r="A269" s="216"/>
      <c r="B269" s="217"/>
      <c r="C269" s="218"/>
      <c r="D269" s="219"/>
      <c r="E269" s="268"/>
      <c r="F269" s="221"/>
      <c r="G269" s="222"/>
    </row>
    <row r="270" spans="1:7" s="112" customFormat="1">
      <c r="A270" s="216"/>
      <c r="B270" s="217"/>
      <c r="C270" s="218"/>
      <c r="D270" s="219"/>
      <c r="E270" s="268"/>
      <c r="F270" s="221"/>
      <c r="G270" s="222"/>
    </row>
    <row r="271" spans="1:7" s="112" customFormat="1">
      <c r="A271" s="216"/>
      <c r="B271" s="217"/>
      <c r="C271" s="218"/>
      <c r="D271" s="219"/>
      <c r="E271" s="268"/>
      <c r="F271" s="221"/>
      <c r="G271" s="222"/>
    </row>
    <row r="272" spans="1:7" s="112" customFormat="1">
      <c r="A272" s="216"/>
      <c r="B272" s="217"/>
      <c r="C272" s="218"/>
      <c r="D272" s="219"/>
      <c r="E272" s="268"/>
      <c r="F272" s="221"/>
      <c r="G272" s="222"/>
    </row>
    <row r="273" spans="1:7" s="112" customFormat="1">
      <c r="A273" s="216"/>
      <c r="B273" s="217"/>
      <c r="C273" s="218"/>
      <c r="D273" s="219"/>
      <c r="E273" s="268"/>
      <c r="F273" s="221"/>
      <c r="G273" s="222"/>
    </row>
    <row r="274" spans="1:7" s="112" customFormat="1">
      <c r="A274" s="216"/>
      <c r="B274" s="217"/>
      <c r="C274" s="218"/>
      <c r="D274" s="219"/>
      <c r="E274" s="268"/>
      <c r="F274" s="221"/>
      <c r="G274" s="222"/>
    </row>
    <row r="275" spans="1:7" s="112" customFormat="1">
      <c r="A275" s="216"/>
      <c r="B275" s="217"/>
      <c r="C275" s="218"/>
      <c r="D275" s="219"/>
      <c r="E275" s="268"/>
      <c r="F275" s="221"/>
      <c r="G275" s="222"/>
    </row>
    <row r="276" spans="1:7" s="112" customFormat="1">
      <c r="A276" s="216"/>
      <c r="B276" s="217"/>
      <c r="C276" s="218"/>
      <c r="D276" s="219"/>
      <c r="E276" s="268"/>
      <c r="F276" s="221"/>
      <c r="G276" s="222"/>
    </row>
    <row r="277" spans="1:7" s="112" customFormat="1">
      <c r="A277" s="216"/>
      <c r="B277" s="217"/>
      <c r="C277" s="218"/>
      <c r="D277" s="219"/>
      <c r="E277" s="268"/>
      <c r="F277" s="221"/>
      <c r="G277" s="222"/>
    </row>
    <row r="278" spans="1:7" s="112" customFormat="1">
      <c r="A278" s="216"/>
      <c r="B278" s="217"/>
      <c r="C278" s="218"/>
      <c r="D278" s="219"/>
      <c r="E278" s="268"/>
      <c r="F278" s="221"/>
      <c r="G278" s="222"/>
    </row>
    <row r="279" spans="1:7" s="112" customFormat="1">
      <c r="A279" s="216"/>
      <c r="B279" s="217"/>
      <c r="C279" s="218"/>
      <c r="D279" s="219"/>
      <c r="E279" s="268"/>
      <c r="F279" s="221"/>
      <c r="G279" s="222"/>
    </row>
    <row r="280" spans="1:7" s="112" customFormat="1">
      <c r="A280" s="216"/>
      <c r="B280" s="217"/>
      <c r="C280" s="218"/>
      <c r="D280" s="219"/>
      <c r="E280" s="268"/>
      <c r="F280" s="221"/>
      <c r="G280" s="222"/>
    </row>
    <row r="281" spans="1:7" s="112" customFormat="1">
      <c r="A281" s="216"/>
      <c r="B281" s="217"/>
      <c r="C281" s="218"/>
      <c r="D281" s="219"/>
      <c r="E281" s="268"/>
      <c r="F281" s="221"/>
      <c r="G281" s="222"/>
    </row>
    <row r="282" spans="1:7" s="112" customFormat="1">
      <c r="A282" s="216"/>
      <c r="B282" s="217"/>
      <c r="C282" s="218"/>
      <c r="D282" s="219"/>
      <c r="E282" s="268"/>
      <c r="F282" s="221"/>
      <c r="G282" s="222"/>
    </row>
    <row r="283" spans="1:7" s="112" customFormat="1">
      <c r="A283" s="216"/>
      <c r="B283" s="217"/>
      <c r="C283" s="218"/>
      <c r="D283" s="219"/>
      <c r="E283" s="268"/>
      <c r="F283" s="221"/>
      <c r="G283" s="222"/>
    </row>
    <row r="284" spans="1:7" s="112" customFormat="1">
      <c r="A284" s="216"/>
      <c r="B284" s="217"/>
      <c r="C284" s="218"/>
      <c r="D284" s="219"/>
      <c r="E284" s="268"/>
      <c r="F284" s="221"/>
      <c r="G284" s="222"/>
    </row>
    <row r="285" spans="1:7" s="112" customFormat="1">
      <c r="A285" s="216"/>
      <c r="B285" s="217"/>
      <c r="C285" s="218"/>
      <c r="D285" s="219"/>
      <c r="E285" s="268"/>
      <c r="F285" s="221"/>
      <c r="G285" s="222"/>
    </row>
    <row r="286" spans="1:7" s="112" customFormat="1">
      <c r="A286" s="216"/>
      <c r="B286" s="217"/>
      <c r="C286" s="218"/>
      <c r="D286" s="219"/>
      <c r="E286" s="268"/>
      <c r="F286" s="221"/>
      <c r="G286" s="222"/>
    </row>
    <row r="287" spans="1:7" s="112" customFormat="1">
      <c r="A287" s="216"/>
      <c r="B287" s="217"/>
      <c r="C287" s="218"/>
      <c r="D287" s="219"/>
      <c r="E287" s="268"/>
      <c r="F287" s="221"/>
      <c r="G287" s="222"/>
    </row>
    <row r="288" spans="1:7" s="112" customFormat="1">
      <c r="A288" s="216"/>
      <c r="B288" s="217"/>
      <c r="C288" s="218"/>
      <c r="D288" s="219"/>
      <c r="E288" s="268"/>
      <c r="F288" s="221"/>
      <c r="G288" s="222"/>
    </row>
    <row r="289" spans="1:7" s="112" customFormat="1">
      <c r="A289" s="216"/>
      <c r="B289" s="217"/>
      <c r="C289" s="218"/>
      <c r="D289" s="219"/>
      <c r="E289" s="268"/>
      <c r="F289" s="221"/>
      <c r="G289" s="222"/>
    </row>
    <row r="290" spans="1:7" s="112" customFormat="1">
      <c r="A290" s="216"/>
      <c r="B290" s="217"/>
      <c r="C290" s="218"/>
      <c r="D290" s="219"/>
      <c r="E290" s="268"/>
      <c r="F290" s="221"/>
      <c r="G290" s="222"/>
    </row>
    <row r="291" spans="1:7" s="112" customFormat="1">
      <c r="A291" s="216"/>
      <c r="B291" s="217"/>
      <c r="C291" s="218"/>
      <c r="D291" s="219"/>
      <c r="E291" s="268"/>
      <c r="F291" s="221"/>
      <c r="G291" s="222"/>
    </row>
    <row r="292" spans="1:7" s="112" customFormat="1">
      <c r="A292" s="216"/>
      <c r="B292" s="217"/>
      <c r="C292" s="218"/>
      <c r="D292" s="219"/>
      <c r="E292" s="268"/>
      <c r="F292" s="221"/>
      <c r="G292" s="222"/>
    </row>
    <row r="293" spans="1:7" s="112" customFormat="1">
      <c r="A293" s="216"/>
      <c r="B293" s="217"/>
      <c r="C293" s="218"/>
      <c r="D293" s="219"/>
      <c r="E293" s="268"/>
      <c r="F293" s="221"/>
      <c r="G293" s="222"/>
    </row>
    <row r="294" spans="1:7" s="112" customFormat="1">
      <c r="A294" s="216"/>
      <c r="B294" s="217"/>
      <c r="C294" s="218"/>
      <c r="D294" s="219"/>
      <c r="E294" s="268"/>
      <c r="F294" s="221"/>
      <c r="G294" s="222"/>
    </row>
    <row r="295" spans="1:7" s="112" customFormat="1">
      <c r="A295" s="216"/>
      <c r="B295" s="217"/>
      <c r="C295" s="218"/>
      <c r="D295" s="219"/>
      <c r="E295" s="268"/>
      <c r="F295" s="221"/>
      <c r="G295" s="222"/>
    </row>
    <row r="296" spans="1:7" s="112" customFormat="1">
      <c r="A296" s="216"/>
      <c r="B296" s="217"/>
      <c r="C296" s="218"/>
      <c r="D296" s="219"/>
      <c r="E296" s="268"/>
      <c r="F296" s="221"/>
      <c r="G296" s="222"/>
    </row>
    <row r="297" spans="1:7" s="112" customFormat="1">
      <c r="A297" s="216"/>
      <c r="B297" s="217"/>
      <c r="C297" s="218"/>
      <c r="D297" s="219"/>
      <c r="E297" s="268"/>
      <c r="F297" s="221"/>
      <c r="G297" s="222"/>
    </row>
    <row r="298" spans="1:7" s="112" customFormat="1">
      <c r="A298" s="216"/>
      <c r="B298" s="217"/>
      <c r="C298" s="218"/>
      <c r="D298" s="219"/>
      <c r="E298" s="268"/>
      <c r="F298" s="221"/>
      <c r="G298" s="222"/>
    </row>
    <row r="299" spans="1:7" s="112" customFormat="1">
      <c r="A299" s="216"/>
      <c r="B299" s="217"/>
      <c r="C299" s="218"/>
      <c r="D299" s="219"/>
      <c r="E299" s="268"/>
      <c r="F299" s="221"/>
      <c r="G299" s="222"/>
    </row>
    <row r="300" spans="1:7" s="112" customFormat="1">
      <c r="A300" s="216"/>
      <c r="B300" s="217"/>
      <c r="C300" s="218"/>
      <c r="D300" s="219"/>
      <c r="E300" s="268"/>
      <c r="F300" s="221"/>
      <c r="G300" s="222"/>
    </row>
    <row r="301" spans="1:7" s="112" customFormat="1">
      <c r="A301" s="216"/>
      <c r="B301" s="217"/>
      <c r="C301" s="218"/>
      <c r="D301" s="219"/>
      <c r="E301" s="268"/>
      <c r="F301" s="221"/>
      <c r="G301" s="222"/>
    </row>
    <row r="302" spans="1:7" s="112" customFormat="1">
      <c r="A302" s="216"/>
      <c r="B302" s="217"/>
      <c r="C302" s="218"/>
      <c r="D302" s="219"/>
      <c r="E302" s="268"/>
      <c r="F302" s="221"/>
      <c r="G302" s="222"/>
    </row>
    <row r="303" spans="1:7" s="112" customFormat="1">
      <c r="A303" s="216"/>
      <c r="B303" s="217"/>
      <c r="C303" s="218"/>
      <c r="D303" s="219"/>
      <c r="E303" s="268"/>
      <c r="F303" s="221"/>
      <c r="G303" s="222"/>
    </row>
    <row r="304" spans="1:7" s="112" customFormat="1">
      <c r="A304" s="216"/>
      <c r="B304" s="217"/>
      <c r="C304" s="218"/>
      <c r="D304" s="219"/>
      <c r="E304" s="268"/>
      <c r="F304" s="221"/>
      <c r="G304" s="222"/>
    </row>
    <row r="305" spans="1:7" s="112" customFormat="1">
      <c r="A305" s="216"/>
      <c r="B305" s="217"/>
      <c r="C305" s="218"/>
      <c r="D305" s="219"/>
      <c r="E305" s="268"/>
      <c r="F305" s="221"/>
      <c r="G305" s="222"/>
    </row>
    <row r="306" spans="1:7" s="112" customFormat="1">
      <c r="A306" s="216"/>
      <c r="B306" s="217"/>
      <c r="C306" s="218"/>
      <c r="D306" s="219"/>
      <c r="E306" s="268"/>
      <c r="F306" s="221"/>
      <c r="G306" s="222"/>
    </row>
    <row r="307" spans="1:7" s="112" customFormat="1">
      <c r="A307" s="216"/>
      <c r="B307" s="217"/>
      <c r="C307" s="218"/>
      <c r="D307" s="219"/>
      <c r="E307" s="268"/>
      <c r="F307" s="221"/>
      <c r="G307" s="222"/>
    </row>
    <row r="308" spans="1:7" s="112" customFormat="1">
      <c r="A308" s="216"/>
      <c r="B308" s="217"/>
      <c r="C308" s="218"/>
      <c r="D308" s="219"/>
      <c r="E308" s="268"/>
      <c r="F308" s="221"/>
      <c r="G308" s="222"/>
    </row>
    <row r="309" spans="1:7" s="112" customFormat="1">
      <c r="A309" s="216"/>
      <c r="B309" s="217"/>
      <c r="C309" s="218"/>
      <c r="D309" s="219"/>
      <c r="E309" s="268"/>
      <c r="F309" s="221"/>
      <c r="G309" s="222"/>
    </row>
    <row r="310" spans="1:7" s="112" customFormat="1">
      <c r="A310" s="216"/>
      <c r="B310" s="217"/>
      <c r="C310" s="218"/>
      <c r="D310" s="219"/>
      <c r="E310" s="268"/>
      <c r="F310" s="221"/>
      <c r="G310" s="222"/>
    </row>
    <row r="311" spans="1:7" s="112" customFormat="1">
      <c r="A311" s="216"/>
      <c r="B311" s="217"/>
      <c r="C311" s="218"/>
      <c r="D311" s="219"/>
      <c r="E311" s="268"/>
      <c r="F311" s="221"/>
      <c r="G311" s="222"/>
    </row>
    <row r="312" spans="1:7" s="112" customFormat="1">
      <c r="A312" s="216"/>
      <c r="B312" s="217"/>
      <c r="C312" s="218"/>
      <c r="D312" s="219"/>
      <c r="E312" s="268"/>
      <c r="F312" s="221"/>
      <c r="G312" s="222"/>
    </row>
    <row r="313" spans="1:7" s="112" customFormat="1">
      <c r="A313" s="216"/>
      <c r="B313" s="217"/>
      <c r="C313" s="218"/>
      <c r="D313" s="219"/>
      <c r="E313" s="268"/>
      <c r="F313" s="221"/>
      <c r="G313" s="222"/>
    </row>
    <row r="314" spans="1:7" s="112" customFormat="1">
      <c r="A314" s="216"/>
      <c r="B314" s="217"/>
      <c r="C314" s="218"/>
      <c r="D314" s="219"/>
      <c r="E314" s="268"/>
      <c r="F314" s="221"/>
      <c r="G314" s="222"/>
    </row>
    <row r="315" spans="1:7" s="112" customFormat="1">
      <c r="A315" s="216"/>
      <c r="B315" s="217"/>
      <c r="C315" s="218"/>
      <c r="D315" s="219"/>
      <c r="E315" s="268"/>
      <c r="F315" s="221"/>
      <c r="G315" s="222"/>
    </row>
    <row r="316" spans="1:7" s="112" customFormat="1">
      <c r="A316" s="216"/>
      <c r="B316" s="217"/>
      <c r="C316" s="218"/>
      <c r="D316" s="219"/>
      <c r="E316" s="268"/>
      <c r="F316" s="221"/>
      <c r="G316" s="222"/>
    </row>
    <row r="317" spans="1:7" s="112" customFormat="1">
      <c r="A317" s="216"/>
      <c r="B317" s="217"/>
      <c r="C317" s="218"/>
      <c r="D317" s="219"/>
      <c r="E317" s="268"/>
      <c r="F317" s="221"/>
      <c r="G317" s="222"/>
    </row>
    <row r="318" spans="1:7" s="112" customFormat="1">
      <c r="A318" s="216"/>
      <c r="B318" s="217"/>
      <c r="C318" s="218"/>
      <c r="D318" s="219"/>
      <c r="E318" s="268"/>
      <c r="F318" s="221"/>
      <c r="G318" s="222"/>
    </row>
    <row r="319" spans="1:7" s="112" customFormat="1">
      <c r="A319" s="216"/>
      <c r="B319" s="217"/>
      <c r="C319" s="218"/>
      <c r="D319" s="219"/>
      <c r="E319" s="268"/>
      <c r="F319" s="221"/>
      <c r="G319" s="222"/>
    </row>
    <row r="320" spans="1:7" s="112" customFormat="1">
      <c r="A320" s="216"/>
      <c r="B320" s="217"/>
      <c r="C320" s="218"/>
      <c r="D320" s="219"/>
      <c r="E320" s="268"/>
      <c r="F320" s="221"/>
      <c r="G320" s="222"/>
    </row>
    <row r="321" spans="1:7" s="112" customFormat="1">
      <c r="A321" s="216"/>
      <c r="B321" s="217"/>
      <c r="C321" s="218"/>
      <c r="D321" s="219"/>
      <c r="E321" s="268"/>
      <c r="F321" s="221"/>
      <c r="G321" s="222"/>
    </row>
    <row r="322" spans="1:7" s="112" customFormat="1">
      <c r="A322" s="216"/>
      <c r="B322" s="217"/>
      <c r="C322" s="218"/>
      <c r="D322" s="219"/>
      <c r="E322" s="268"/>
      <c r="F322" s="221"/>
      <c r="G322" s="222"/>
    </row>
    <row r="323" spans="1:7" s="112" customFormat="1">
      <c r="A323" s="216"/>
      <c r="B323" s="217"/>
      <c r="C323" s="218"/>
      <c r="D323" s="219"/>
      <c r="E323" s="268"/>
      <c r="F323" s="221"/>
      <c r="G323" s="222"/>
    </row>
    <row r="324" spans="1:7" s="112" customFormat="1">
      <c r="A324" s="216"/>
      <c r="B324" s="217"/>
      <c r="C324" s="218"/>
      <c r="D324" s="219"/>
      <c r="E324" s="268"/>
      <c r="F324" s="221"/>
      <c r="G324" s="222"/>
    </row>
    <row r="325" spans="1:7" s="112" customFormat="1">
      <c r="A325" s="216"/>
      <c r="B325" s="217"/>
      <c r="C325" s="218"/>
      <c r="D325" s="219"/>
      <c r="E325" s="268"/>
      <c r="F325" s="221"/>
      <c r="G325" s="222"/>
    </row>
    <row r="326" spans="1:7" s="112" customFormat="1">
      <c r="A326" s="216"/>
      <c r="B326" s="217"/>
      <c r="C326" s="218"/>
      <c r="D326" s="219"/>
      <c r="E326" s="268"/>
      <c r="F326" s="221"/>
      <c r="G326" s="222"/>
    </row>
    <row r="327" spans="1:7" s="112" customFormat="1">
      <c r="A327" s="216"/>
      <c r="B327" s="217"/>
      <c r="C327" s="218"/>
      <c r="D327" s="219"/>
      <c r="E327" s="268"/>
      <c r="F327" s="221"/>
      <c r="G327" s="222"/>
    </row>
    <row r="328" spans="1:7" s="112" customFormat="1">
      <c r="A328" s="216"/>
      <c r="B328" s="217"/>
      <c r="C328" s="218"/>
      <c r="D328" s="219"/>
      <c r="E328" s="268"/>
      <c r="F328" s="221"/>
      <c r="G328" s="222"/>
    </row>
    <row r="329" spans="1:7" s="112" customFormat="1">
      <c r="A329" s="216"/>
      <c r="B329" s="217"/>
      <c r="C329" s="218"/>
      <c r="D329" s="219"/>
      <c r="E329" s="268"/>
      <c r="F329" s="221"/>
      <c r="G329" s="222"/>
    </row>
    <row r="330" spans="1:7" s="112" customFormat="1">
      <c r="A330" s="216"/>
      <c r="B330" s="217"/>
      <c r="C330" s="218"/>
      <c r="D330" s="219"/>
      <c r="E330" s="268"/>
      <c r="F330" s="221"/>
      <c r="G330" s="222"/>
    </row>
    <row r="331" spans="1:7" s="112" customFormat="1">
      <c r="A331" s="216"/>
      <c r="B331" s="217"/>
      <c r="C331" s="218"/>
      <c r="D331" s="219"/>
      <c r="E331" s="268"/>
      <c r="F331" s="221"/>
      <c r="G331" s="222"/>
    </row>
    <row r="332" spans="1:7" s="112" customFormat="1">
      <c r="A332" s="216"/>
      <c r="B332" s="217"/>
      <c r="C332" s="218"/>
      <c r="D332" s="219"/>
      <c r="E332" s="268"/>
      <c r="F332" s="221"/>
      <c r="G332" s="222"/>
    </row>
    <row r="333" spans="1:7" s="112" customFormat="1">
      <c r="A333" s="216"/>
      <c r="B333" s="217"/>
      <c r="C333" s="218"/>
      <c r="D333" s="219"/>
      <c r="E333" s="268"/>
      <c r="F333" s="221"/>
      <c r="G333" s="222"/>
    </row>
    <row r="334" spans="1:7" s="112" customFormat="1">
      <c r="A334" s="216"/>
      <c r="B334" s="217"/>
      <c r="C334" s="218"/>
      <c r="D334" s="219"/>
      <c r="E334" s="268"/>
      <c r="F334" s="221"/>
      <c r="G334" s="222"/>
    </row>
    <row r="335" spans="1:7" s="112" customFormat="1">
      <c r="A335" s="216"/>
      <c r="B335" s="217"/>
      <c r="C335" s="218"/>
      <c r="D335" s="219"/>
      <c r="E335" s="268"/>
      <c r="F335" s="221"/>
      <c r="G335" s="222"/>
    </row>
    <row r="336" spans="1:7" s="112" customFormat="1">
      <c r="A336" s="216"/>
      <c r="B336" s="217"/>
      <c r="C336" s="218"/>
      <c r="D336" s="219"/>
      <c r="E336" s="268"/>
      <c r="F336" s="221"/>
      <c r="G336" s="222"/>
    </row>
    <row r="337" spans="1:7" s="112" customFormat="1">
      <c r="A337" s="216"/>
      <c r="B337" s="217"/>
      <c r="C337" s="218"/>
      <c r="D337" s="219"/>
      <c r="E337" s="268"/>
      <c r="F337" s="221"/>
      <c r="G337" s="222"/>
    </row>
    <row r="338" spans="1:7" s="112" customFormat="1">
      <c r="A338" s="216"/>
      <c r="B338" s="217"/>
      <c r="C338" s="218"/>
      <c r="D338" s="219"/>
      <c r="E338" s="268"/>
      <c r="F338" s="221"/>
      <c r="G338" s="222"/>
    </row>
    <row r="339" spans="1:7" s="112" customFormat="1">
      <c r="A339" s="216"/>
      <c r="B339" s="217"/>
      <c r="C339" s="218"/>
      <c r="D339" s="219"/>
      <c r="E339" s="268"/>
      <c r="F339" s="221"/>
      <c r="G339" s="222"/>
    </row>
    <row r="340" spans="1:7" s="112" customFormat="1">
      <c r="A340" s="216"/>
      <c r="B340" s="217"/>
      <c r="C340" s="218"/>
      <c r="D340" s="219"/>
      <c r="E340" s="268"/>
      <c r="F340" s="221"/>
      <c r="G340" s="222"/>
    </row>
    <row r="341" spans="1:7" s="112" customFormat="1">
      <c r="A341" s="216"/>
      <c r="B341" s="217"/>
      <c r="C341" s="218"/>
      <c r="D341" s="219"/>
      <c r="E341" s="268"/>
      <c r="F341" s="221"/>
      <c r="G341" s="222"/>
    </row>
    <row r="342" spans="1:7" s="112" customFormat="1">
      <c r="A342" s="216"/>
      <c r="B342" s="217"/>
      <c r="C342" s="218"/>
      <c r="D342" s="219"/>
      <c r="E342" s="268"/>
      <c r="F342" s="221"/>
      <c r="G342" s="222"/>
    </row>
    <row r="343" spans="1:7" s="112" customFormat="1">
      <c r="A343" s="216"/>
      <c r="B343" s="217"/>
      <c r="C343" s="218"/>
      <c r="D343" s="219"/>
      <c r="E343" s="268"/>
      <c r="F343" s="221"/>
      <c r="G343" s="222"/>
    </row>
    <row r="344" spans="1:7" s="112" customFormat="1">
      <c r="A344" s="216"/>
      <c r="B344" s="217"/>
      <c r="C344" s="218"/>
      <c r="D344" s="219"/>
      <c r="E344" s="268"/>
      <c r="F344" s="221"/>
      <c r="G344" s="222"/>
    </row>
    <row r="345" spans="1:7" s="112" customFormat="1">
      <c r="A345" s="216"/>
      <c r="B345" s="217"/>
      <c r="C345" s="218"/>
      <c r="D345" s="219"/>
      <c r="E345" s="268"/>
      <c r="F345" s="221"/>
      <c r="G345" s="222"/>
    </row>
    <row r="346" spans="1:7" s="112" customFormat="1">
      <c r="A346" s="216"/>
      <c r="B346" s="217"/>
      <c r="C346" s="218"/>
      <c r="D346" s="219"/>
      <c r="E346" s="268"/>
      <c r="F346" s="221"/>
      <c r="G346" s="222"/>
    </row>
    <row r="347" spans="1:7" s="112" customFormat="1">
      <c r="A347" s="216"/>
      <c r="B347" s="217"/>
      <c r="C347" s="218"/>
      <c r="D347" s="219"/>
      <c r="E347" s="268"/>
      <c r="F347" s="221"/>
      <c r="G347" s="222"/>
    </row>
    <row r="348" spans="1:7" s="112" customFormat="1">
      <c r="A348" s="216"/>
      <c r="B348" s="217"/>
      <c r="C348" s="218"/>
      <c r="D348" s="219"/>
      <c r="E348" s="268"/>
      <c r="F348" s="221"/>
      <c r="G348" s="222"/>
    </row>
    <row r="349" spans="1:7" s="112" customFormat="1">
      <c r="A349" s="216"/>
      <c r="B349" s="217"/>
      <c r="C349" s="218"/>
      <c r="D349" s="219"/>
      <c r="E349" s="268"/>
      <c r="F349" s="221"/>
      <c r="G349" s="222"/>
    </row>
    <row r="350" spans="1:7" s="112" customFormat="1">
      <c r="A350" s="216"/>
      <c r="B350" s="217"/>
      <c r="C350" s="218"/>
      <c r="D350" s="219"/>
      <c r="E350" s="268"/>
      <c r="F350" s="221"/>
      <c r="G350" s="222"/>
    </row>
    <row r="351" spans="1:7" s="112" customFormat="1">
      <c r="A351" s="216"/>
      <c r="B351" s="217"/>
      <c r="C351" s="218"/>
      <c r="D351" s="219"/>
      <c r="E351" s="268"/>
      <c r="F351" s="221"/>
      <c r="G351" s="222"/>
    </row>
    <row r="352" spans="1:7" s="112" customFormat="1">
      <c r="A352" s="216"/>
      <c r="B352" s="217"/>
      <c r="C352" s="218"/>
      <c r="D352" s="219"/>
      <c r="E352" s="268"/>
      <c r="F352" s="221"/>
      <c r="G352" s="222"/>
    </row>
    <row r="353" spans="1:7" s="112" customFormat="1">
      <c r="A353" s="216"/>
      <c r="B353" s="217"/>
      <c r="C353" s="218"/>
      <c r="D353" s="219"/>
      <c r="E353" s="268"/>
      <c r="F353" s="221"/>
      <c r="G353" s="222"/>
    </row>
    <row r="354" spans="1:7" s="112" customFormat="1">
      <c r="A354" s="216"/>
      <c r="B354" s="217"/>
      <c r="C354" s="218"/>
      <c r="D354" s="219"/>
      <c r="E354" s="268"/>
      <c r="F354" s="221"/>
      <c r="G354" s="222"/>
    </row>
    <row r="355" spans="1:7" s="112" customFormat="1">
      <c r="A355" s="216"/>
      <c r="B355" s="217"/>
      <c r="C355" s="218"/>
      <c r="D355" s="219"/>
      <c r="E355" s="268"/>
      <c r="F355" s="221"/>
      <c r="G355" s="222"/>
    </row>
    <row r="356" spans="1:7" s="112" customFormat="1">
      <c r="A356" s="216"/>
      <c r="B356" s="217"/>
      <c r="C356" s="218"/>
      <c r="D356" s="219"/>
      <c r="E356" s="268"/>
      <c r="F356" s="221"/>
      <c r="G356" s="222"/>
    </row>
    <row r="357" spans="1:7" s="112" customFormat="1">
      <c r="A357" s="216"/>
      <c r="B357" s="217"/>
      <c r="C357" s="218"/>
      <c r="D357" s="219"/>
      <c r="E357" s="268"/>
      <c r="F357" s="221"/>
      <c r="G357" s="222"/>
    </row>
    <row r="358" spans="1:7" s="112" customFormat="1">
      <c r="A358" s="216"/>
      <c r="B358" s="217"/>
      <c r="C358" s="218"/>
      <c r="D358" s="219"/>
      <c r="E358" s="268"/>
      <c r="F358" s="221"/>
      <c r="G358" s="222"/>
    </row>
    <row r="359" spans="1:7" s="112" customFormat="1">
      <c r="A359" s="216"/>
      <c r="B359" s="217"/>
      <c r="C359" s="218"/>
      <c r="D359" s="219"/>
      <c r="E359" s="268"/>
      <c r="F359" s="221"/>
      <c r="G359" s="222"/>
    </row>
    <row r="360" spans="1:7" s="112" customFormat="1">
      <c r="A360" s="216"/>
      <c r="B360" s="217"/>
      <c r="C360" s="218"/>
      <c r="D360" s="219"/>
      <c r="E360" s="268"/>
      <c r="F360" s="221"/>
      <c r="G360" s="222"/>
    </row>
    <row r="361" spans="1:7" s="112" customFormat="1">
      <c r="A361" s="216"/>
      <c r="B361" s="217"/>
      <c r="C361" s="218"/>
      <c r="D361" s="219"/>
      <c r="E361" s="268"/>
      <c r="F361" s="221"/>
      <c r="G361" s="222"/>
    </row>
    <row r="362" spans="1:7" s="112" customFormat="1">
      <c r="A362" s="216"/>
      <c r="B362" s="217"/>
      <c r="C362" s="218"/>
      <c r="D362" s="219"/>
      <c r="E362" s="268"/>
      <c r="F362" s="221"/>
      <c r="G362" s="222"/>
    </row>
    <row r="363" spans="1:7" s="112" customFormat="1">
      <c r="A363" s="216"/>
      <c r="B363" s="217"/>
      <c r="C363" s="218"/>
      <c r="D363" s="219"/>
      <c r="E363" s="268"/>
      <c r="F363" s="221"/>
      <c r="G363" s="222"/>
    </row>
    <row r="364" spans="1:7" s="112" customFormat="1">
      <c r="A364" s="216"/>
      <c r="B364" s="217"/>
      <c r="C364" s="218"/>
      <c r="D364" s="219"/>
      <c r="E364" s="268"/>
      <c r="F364" s="221"/>
      <c r="G364" s="222"/>
    </row>
    <row r="365" spans="1:7" s="112" customFormat="1">
      <c r="A365" s="216"/>
      <c r="B365" s="217"/>
      <c r="C365" s="218"/>
      <c r="D365" s="219"/>
      <c r="E365" s="268"/>
      <c r="F365" s="221"/>
      <c r="G365" s="222"/>
    </row>
    <row r="366" spans="1:7" s="112" customFormat="1">
      <c r="A366" s="216"/>
      <c r="B366" s="217"/>
      <c r="C366" s="218"/>
      <c r="D366" s="219"/>
      <c r="E366" s="268"/>
      <c r="F366" s="221"/>
      <c r="G366" s="222"/>
    </row>
    <row r="367" spans="1:7" s="112" customFormat="1">
      <c r="A367" s="216"/>
      <c r="B367" s="217"/>
      <c r="C367" s="218"/>
      <c r="D367" s="219"/>
      <c r="E367" s="268"/>
      <c r="F367" s="221"/>
      <c r="G367" s="222"/>
    </row>
    <row r="368" spans="1:7" s="112" customFormat="1">
      <c r="A368" s="216"/>
      <c r="B368" s="217"/>
      <c r="C368" s="218"/>
      <c r="D368" s="219"/>
      <c r="E368" s="268"/>
      <c r="F368" s="221"/>
      <c r="G368" s="222"/>
    </row>
    <row r="369" spans="1:7" s="112" customFormat="1">
      <c r="A369" s="216"/>
      <c r="B369" s="217"/>
      <c r="C369" s="218"/>
      <c r="D369" s="219"/>
      <c r="E369" s="268"/>
      <c r="F369" s="221"/>
      <c r="G369" s="222"/>
    </row>
    <row r="370" spans="1:7" s="112" customFormat="1">
      <c r="A370" s="216"/>
      <c r="B370" s="217"/>
      <c r="C370" s="218"/>
      <c r="D370" s="219"/>
      <c r="E370" s="268"/>
      <c r="F370" s="221"/>
      <c r="G370" s="222"/>
    </row>
    <row r="371" spans="1:7" s="112" customFormat="1">
      <c r="A371" s="216"/>
      <c r="B371" s="217"/>
      <c r="C371" s="218"/>
      <c r="D371" s="219"/>
      <c r="E371" s="268"/>
      <c r="F371" s="221"/>
      <c r="G371" s="222"/>
    </row>
    <row r="372" spans="1:7" s="112" customFormat="1">
      <c r="A372" s="216"/>
      <c r="B372" s="217"/>
      <c r="C372" s="218"/>
      <c r="D372" s="219"/>
      <c r="E372" s="268"/>
      <c r="F372" s="221"/>
      <c r="G372" s="222"/>
    </row>
    <row r="373" spans="1:7" s="112" customFormat="1">
      <c r="A373" s="216"/>
      <c r="B373" s="217"/>
      <c r="C373" s="218"/>
      <c r="D373" s="219"/>
      <c r="E373" s="268"/>
      <c r="F373" s="221"/>
      <c r="G373" s="222"/>
    </row>
    <row r="374" spans="1:7" s="112" customFormat="1">
      <c r="A374" s="216"/>
      <c r="B374" s="217"/>
      <c r="C374" s="218"/>
      <c r="D374" s="219"/>
      <c r="E374" s="268"/>
      <c r="F374" s="221"/>
      <c r="G374" s="222"/>
    </row>
    <row r="375" spans="1:7" s="112" customFormat="1">
      <c r="A375" s="216"/>
      <c r="B375" s="217"/>
      <c r="C375" s="218"/>
      <c r="D375" s="219"/>
      <c r="E375" s="268"/>
      <c r="F375" s="221"/>
      <c r="G375" s="222"/>
    </row>
    <row r="376" spans="1:7" s="112" customFormat="1">
      <c r="A376" s="216"/>
      <c r="B376" s="217"/>
      <c r="C376" s="218"/>
      <c r="D376" s="219"/>
      <c r="E376" s="268"/>
      <c r="F376" s="221"/>
      <c r="G376" s="222"/>
    </row>
    <row r="377" spans="1:7" s="112" customFormat="1">
      <c r="A377" s="216"/>
      <c r="B377" s="217"/>
      <c r="C377" s="218"/>
      <c r="D377" s="219"/>
      <c r="E377" s="268"/>
      <c r="F377" s="221"/>
      <c r="G377" s="222"/>
    </row>
    <row r="378" spans="1:7" s="112" customFormat="1">
      <c r="A378" s="216"/>
      <c r="B378" s="217"/>
      <c r="C378" s="218"/>
      <c r="D378" s="219"/>
      <c r="E378" s="268"/>
      <c r="F378" s="221"/>
      <c r="G378" s="222"/>
    </row>
    <row r="379" spans="1:7" s="112" customFormat="1">
      <c r="A379" s="216"/>
      <c r="B379" s="217"/>
      <c r="C379" s="218"/>
      <c r="D379" s="219"/>
      <c r="E379" s="268"/>
      <c r="F379" s="221"/>
      <c r="G379" s="222"/>
    </row>
    <row r="380" spans="1:7" s="112" customFormat="1">
      <c r="A380" s="216"/>
      <c r="B380" s="217"/>
      <c r="C380" s="218"/>
      <c r="D380" s="219"/>
      <c r="E380" s="268"/>
      <c r="F380" s="221"/>
      <c r="G380" s="222"/>
    </row>
    <row r="381" spans="1:7" s="112" customFormat="1">
      <c r="A381" s="216"/>
      <c r="B381" s="217"/>
      <c r="C381" s="218"/>
      <c r="D381" s="219"/>
      <c r="E381" s="268"/>
      <c r="F381" s="221"/>
      <c r="G381" s="222"/>
    </row>
    <row r="382" spans="1:7" s="112" customFormat="1">
      <c r="A382" s="216"/>
      <c r="B382" s="217"/>
      <c r="C382" s="218"/>
      <c r="D382" s="219"/>
      <c r="E382" s="268"/>
      <c r="F382" s="221"/>
      <c r="G382" s="222"/>
    </row>
    <row r="383" spans="1:7" s="112" customFormat="1">
      <c r="A383" s="216"/>
      <c r="B383" s="217"/>
      <c r="C383" s="218"/>
      <c r="D383" s="219"/>
      <c r="E383" s="268"/>
      <c r="F383" s="221"/>
      <c r="G383" s="222"/>
    </row>
    <row r="384" spans="1:7" s="112" customFormat="1">
      <c r="A384" s="216"/>
      <c r="B384" s="217"/>
      <c r="C384" s="218"/>
      <c r="D384" s="219"/>
      <c r="E384" s="268"/>
      <c r="F384" s="221"/>
      <c r="G384" s="222"/>
    </row>
    <row r="385" spans="1:7" s="112" customFormat="1">
      <c r="A385" s="216"/>
      <c r="B385" s="217"/>
      <c r="C385" s="218"/>
      <c r="D385" s="219"/>
      <c r="E385" s="268"/>
      <c r="F385" s="221"/>
      <c r="G385" s="222"/>
    </row>
    <row r="386" spans="1:7" s="112" customFormat="1">
      <c r="A386" s="216"/>
      <c r="B386" s="217"/>
      <c r="C386" s="218"/>
      <c r="D386" s="219"/>
      <c r="E386" s="268"/>
      <c r="F386" s="221"/>
      <c r="G386" s="222"/>
    </row>
    <row r="387" spans="1:7" s="112" customFormat="1">
      <c r="A387" s="216"/>
      <c r="B387" s="217"/>
      <c r="C387" s="218"/>
      <c r="D387" s="219"/>
      <c r="E387" s="268"/>
      <c r="F387" s="221"/>
      <c r="G387" s="222"/>
    </row>
    <row r="388" spans="1:7" s="112" customFormat="1">
      <c r="A388" s="216"/>
      <c r="B388" s="217"/>
      <c r="C388" s="218"/>
      <c r="D388" s="219"/>
      <c r="E388" s="268"/>
      <c r="F388" s="221"/>
      <c r="G388" s="222"/>
    </row>
    <row r="389" spans="1:7" s="112" customFormat="1">
      <c r="A389" s="216"/>
      <c r="B389" s="217"/>
      <c r="C389" s="218"/>
      <c r="D389" s="219"/>
      <c r="E389" s="268"/>
      <c r="F389" s="221"/>
      <c r="G389" s="222"/>
    </row>
    <row r="390" spans="1:7" s="112" customFormat="1">
      <c r="A390" s="216"/>
      <c r="B390" s="217"/>
      <c r="C390" s="218"/>
      <c r="D390" s="219"/>
      <c r="E390" s="268"/>
      <c r="F390" s="221"/>
      <c r="G390" s="222"/>
    </row>
    <row r="391" spans="1:7" s="112" customFormat="1">
      <c r="A391" s="216"/>
      <c r="B391" s="217"/>
      <c r="C391" s="218"/>
      <c r="D391" s="219"/>
      <c r="E391" s="268"/>
      <c r="F391" s="221"/>
      <c r="G391" s="222"/>
    </row>
    <row r="392" spans="1:7" s="112" customFormat="1">
      <c r="A392" s="216"/>
      <c r="B392" s="217"/>
      <c r="C392" s="218"/>
      <c r="D392" s="219"/>
      <c r="E392" s="268"/>
      <c r="F392" s="221"/>
      <c r="G392" s="222"/>
    </row>
    <row r="393" spans="1:7" s="112" customFormat="1">
      <c r="A393" s="216"/>
      <c r="B393" s="217"/>
      <c r="C393" s="218"/>
      <c r="D393" s="219"/>
      <c r="E393" s="268"/>
      <c r="F393" s="221"/>
      <c r="G393" s="222"/>
    </row>
    <row r="394" spans="1:7" s="112" customFormat="1">
      <c r="A394" s="216"/>
      <c r="B394" s="217"/>
      <c r="C394" s="218"/>
      <c r="D394" s="219"/>
      <c r="E394" s="268"/>
      <c r="F394" s="221"/>
      <c r="G394" s="222"/>
    </row>
    <row r="395" spans="1:7" s="112" customFormat="1">
      <c r="A395" s="216"/>
      <c r="B395" s="217"/>
      <c r="C395" s="218"/>
      <c r="D395" s="219"/>
      <c r="E395" s="268"/>
      <c r="F395" s="221"/>
      <c r="G395" s="222"/>
    </row>
    <row r="396" spans="1:7" s="112" customFormat="1">
      <c r="A396" s="216"/>
      <c r="B396" s="217"/>
      <c r="C396" s="218"/>
      <c r="D396" s="219"/>
      <c r="E396" s="268"/>
      <c r="F396" s="221"/>
      <c r="G396" s="222"/>
    </row>
    <row r="397" spans="1:7" s="112" customFormat="1">
      <c r="A397" s="216"/>
      <c r="B397" s="217"/>
      <c r="C397" s="218"/>
      <c r="D397" s="219"/>
      <c r="E397" s="268"/>
      <c r="F397" s="221"/>
      <c r="G397" s="222"/>
    </row>
    <row r="398" spans="1:7" s="112" customFormat="1">
      <c r="A398" s="216"/>
      <c r="B398" s="217"/>
      <c r="C398" s="218"/>
      <c r="D398" s="219"/>
      <c r="E398" s="268"/>
      <c r="F398" s="221"/>
      <c r="G398" s="222"/>
    </row>
    <row r="399" spans="1:7" s="112" customFormat="1">
      <c r="A399" s="216"/>
      <c r="B399" s="217"/>
      <c r="C399" s="218"/>
      <c r="D399" s="219"/>
      <c r="E399" s="268"/>
      <c r="F399" s="221"/>
      <c r="G399" s="222"/>
    </row>
    <row r="400" spans="1:7" s="112" customFormat="1">
      <c r="A400" s="216"/>
      <c r="B400" s="217"/>
      <c r="C400" s="218"/>
      <c r="D400" s="219"/>
      <c r="E400" s="268"/>
      <c r="F400" s="221"/>
      <c r="G400" s="222"/>
    </row>
    <row r="401" spans="1:7" s="112" customFormat="1">
      <c r="A401" s="216"/>
      <c r="B401" s="217"/>
      <c r="C401" s="218"/>
      <c r="D401" s="219"/>
      <c r="E401" s="268"/>
      <c r="F401" s="221"/>
      <c r="G401" s="222"/>
    </row>
    <row r="402" spans="1:7" s="112" customFormat="1">
      <c r="A402" s="216"/>
      <c r="B402" s="217"/>
      <c r="C402" s="218"/>
      <c r="D402" s="219"/>
      <c r="E402" s="268"/>
      <c r="F402" s="221"/>
      <c r="G402" s="222"/>
    </row>
    <row r="403" spans="1:7" s="112" customFormat="1">
      <c r="A403" s="216"/>
      <c r="B403" s="217"/>
      <c r="C403" s="218"/>
      <c r="D403" s="219"/>
      <c r="E403" s="268"/>
      <c r="F403" s="221"/>
      <c r="G403" s="222"/>
    </row>
    <row r="404" spans="1:7" s="112" customFormat="1">
      <c r="A404" s="216"/>
      <c r="B404" s="217"/>
      <c r="C404" s="218"/>
      <c r="D404" s="219"/>
      <c r="E404" s="268"/>
      <c r="F404" s="221"/>
      <c r="G404" s="222"/>
    </row>
    <row r="405" spans="1:7" s="112" customFormat="1">
      <c r="A405" s="216"/>
      <c r="B405" s="217"/>
      <c r="C405" s="218"/>
      <c r="D405" s="219"/>
      <c r="E405" s="268"/>
      <c r="F405" s="221"/>
      <c r="G405" s="222"/>
    </row>
    <row r="406" spans="1:7" s="112" customFormat="1">
      <c r="A406" s="216"/>
      <c r="B406" s="217"/>
      <c r="C406" s="218"/>
      <c r="D406" s="219"/>
      <c r="E406" s="268"/>
      <c r="F406" s="221"/>
      <c r="G406" s="222"/>
    </row>
    <row r="407" spans="1:7" s="112" customFormat="1">
      <c r="A407" s="216"/>
      <c r="B407" s="217"/>
      <c r="C407" s="218"/>
      <c r="D407" s="219"/>
      <c r="E407" s="268"/>
      <c r="F407" s="221"/>
      <c r="G407" s="222"/>
    </row>
    <row r="408" spans="1:7" s="112" customFormat="1">
      <c r="A408" s="216"/>
      <c r="B408" s="217"/>
      <c r="C408" s="218"/>
      <c r="D408" s="219"/>
      <c r="E408" s="268"/>
      <c r="F408" s="221"/>
      <c r="G408" s="222"/>
    </row>
    <row r="409" spans="1:7" s="112" customFormat="1">
      <c r="A409" s="216"/>
      <c r="B409" s="217"/>
      <c r="C409" s="218"/>
      <c r="D409" s="219"/>
      <c r="E409" s="268"/>
      <c r="F409" s="221"/>
      <c r="G409" s="222"/>
    </row>
    <row r="410" spans="1:7" s="112" customFormat="1">
      <c r="A410" s="216"/>
      <c r="B410" s="217"/>
      <c r="C410" s="218"/>
      <c r="D410" s="219"/>
      <c r="E410" s="268"/>
      <c r="F410" s="221"/>
      <c r="G410" s="222"/>
    </row>
    <row r="411" spans="1:7" s="112" customFormat="1">
      <c r="A411" s="216"/>
      <c r="B411" s="217"/>
      <c r="C411" s="218"/>
      <c r="D411" s="219"/>
      <c r="E411" s="268"/>
      <c r="F411" s="221"/>
      <c r="G411" s="222"/>
    </row>
    <row r="412" spans="1:7" s="112" customFormat="1">
      <c r="A412" s="216"/>
      <c r="B412" s="217"/>
      <c r="C412" s="218"/>
      <c r="D412" s="219"/>
      <c r="E412" s="268"/>
      <c r="F412" s="221"/>
      <c r="G412" s="222"/>
    </row>
    <row r="413" spans="1:7" s="112" customFormat="1">
      <c r="A413" s="216"/>
      <c r="B413" s="217"/>
      <c r="C413" s="218"/>
      <c r="D413" s="219"/>
      <c r="E413" s="268"/>
      <c r="F413" s="221"/>
      <c r="G413" s="222"/>
    </row>
    <row r="414" spans="1:7" s="112" customFormat="1">
      <c r="A414" s="216"/>
      <c r="B414" s="217"/>
      <c r="C414" s="218"/>
      <c r="D414" s="219"/>
      <c r="E414" s="268"/>
      <c r="F414" s="221"/>
      <c r="G414" s="222"/>
    </row>
    <row r="415" spans="1:7" s="112" customFormat="1">
      <c r="A415" s="216"/>
      <c r="B415" s="217"/>
      <c r="C415" s="218"/>
      <c r="D415" s="219"/>
      <c r="E415" s="268"/>
      <c r="F415" s="221"/>
      <c r="G415" s="222"/>
    </row>
    <row r="416" spans="1:7" s="112" customFormat="1">
      <c r="A416" s="216"/>
      <c r="B416" s="217"/>
      <c r="C416" s="218"/>
      <c r="D416" s="219"/>
      <c r="E416" s="268"/>
      <c r="F416" s="221"/>
      <c r="G416" s="222"/>
    </row>
    <row r="417" spans="1:7" s="112" customFormat="1">
      <c r="A417" s="216"/>
      <c r="B417" s="217"/>
      <c r="C417" s="218"/>
      <c r="D417" s="219"/>
      <c r="E417" s="268"/>
      <c r="F417" s="221"/>
      <c r="G417" s="222"/>
    </row>
    <row r="418" spans="1:7" s="112" customFormat="1">
      <c r="A418" s="216"/>
      <c r="B418" s="217"/>
      <c r="C418" s="218"/>
      <c r="D418" s="219"/>
      <c r="E418" s="268"/>
      <c r="F418" s="221"/>
      <c r="G418" s="222"/>
    </row>
    <row r="419" spans="1:7" s="112" customFormat="1">
      <c r="A419" s="216"/>
      <c r="B419" s="217"/>
      <c r="C419" s="218"/>
      <c r="D419" s="219"/>
      <c r="E419" s="268"/>
      <c r="F419" s="221"/>
      <c r="G419" s="222"/>
    </row>
    <row r="420" spans="1:7" s="112" customFormat="1">
      <c r="A420" s="216"/>
      <c r="B420" s="217"/>
      <c r="C420" s="218"/>
      <c r="D420" s="219"/>
      <c r="E420" s="268"/>
      <c r="F420" s="221"/>
      <c r="G420" s="222"/>
    </row>
    <row r="421" spans="1:7" s="112" customFormat="1">
      <c r="A421" s="216"/>
      <c r="B421" s="217"/>
      <c r="C421" s="218"/>
      <c r="D421" s="219"/>
      <c r="E421" s="268"/>
      <c r="F421" s="221"/>
      <c r="G421" s="222"/>
    </row>
    <row r="422" spans="1:7" s="112" customFormat="1">
      <c r="A422" s="216"/>
      <c r="B422" s="217"/>
      <c r="C422" s="218"/>
      <c r="D422" s="219"/>
      <c r="E422" s="268"/>
      <c r="F422" s="221"/>
      <c r="G422" s="222"/>
    </row>
    <row r="423" spans="1:7" s="112" customFormat="1">
      <c r="A423" s="216"/>
      <c r="B423" s="217"/>
      <c r="C423" s="218"/>
      <c r="D423" s="219"/>
      <c r="E423" s="268"/>
      <c r="F423" s="221"/>
      <c r="G423" s="222"/>
    </row>
    <row r="424" spans="1:7" s="112" customFormat="1">
      <c r="A424" s="216"/>
      <c r="B424" s="217"/>
      <c r="C424" s="218"/>
      <c r="D424" s="219"/>
      <c r="E424" s="268"/>
      <c r="F424" s="221"/>
      <c r="G424" s="222"/>
    </row>
    <row r="425" spans="1:7" s="112" customFormat="1">
      <c r="A425" s="216"/>
      <c r="B425" s="217"/>
      <c r="C425" s="218"/>
      <c r="D425" s="219"/>
      <c r="E425" s="268"/>
      <c r="F425" s="221"/>
      <c r="G425" s="222"/>
    </row>
    <row r="426" spans="1:7" s="112" customFormat="1">
      <c r="A426" s="216"/>
      <c r="B426" s="217"/>
      <c r="C426" s="218"/>
      <c r="D426" s="219"/>
      <c r="E426" s="268"/>
      <c r="F426" s="221"/>
      <c r="G426" s="222"/>
    </row>
    <row r="427" spans="1:7" s="112" customFormat="1">
      <c r="A427" s="216"/>
      <c r="B427" s="217"/>
      <c r="C427" s="218"/>
      <c r="D427" s="219"/>
      <c r="E427" s="268"/>
      <c r="F427" s="221"/>
      <c r="G427" s="222"/>
    </row>
    <row r="428" spans="1:7" s="112" customFormat="1">
      <c r="A428" s="216"/>
      <c r="B428" s="217"/>
      <c r="C428" s="218"/>
      <c r="D428" s="219"/>
      <c r="E428" s="268"/>
      <c r="F428" s="221"/>
      <c r="G428" s="222"/>
    </row>
    <row r="429" spans="1:7" s="112" customFormat="1">
      <c r="A429" s="216"/>
      <c r="B429" s="217"/>
      <c r="C429" s="218"/>
      <c r="D429" s="219"/>
      <c r="E429" s="268"/>
      <c r="F429" s="221"/>
      <c r="G429" s="222"/>
    </row>
    <row r="430" spans="1:7" s="112" customFormat="1">
      <c r="A430" s="216"/>
      <c r="B430" s="217"/>
      <c r="C430" s="218"/>
      <c r="D430" s="219"/>
      <c r="E430" s="268"/>
      <c r="F430" s="221"/>
      <c r="G430" s="222"/>
    </row>
    <row r="431" spans="1:7" s="112" customFormat="1">
      <c r="A431" s="216"/>
      <c r="B431" s="217"/>
      <c r="C431" s="218"/>
      <c r="D431" s="219"/>
      <c r="E431" s="268"/>
      <c r="F431" s="221"/>
      <c r="G431" s="222"/>
    </row>
    <row r="432" spans="1:7" s="112" customFormat="1">
      <c r="A432" s="216"/>
      <c r="B432" s="217"/>
      <c r="C432" s="218"/>
      <c r="D432" s="219"/>
      <c r="E432" s="268"/>
      <c r="F432" s="221"/>
      <c r="G432" s="222"/>
    </row>
    <row r="433" spans="1:7" s="112" customFormat="1">
      <c r="A433" s="216"/>
      <c r="B433" s="217"/>
      <c r="C433" s="218"/>
      <c r="D433" s="219"/>
      <c r="E433" s="268"/>
      <c r="F433" s="221"/>
      <c r="G433" s="222"/>
    </row>
    <row r="434" spans="1:7" s="112" customFormat="1">
      <c r="A434" s="216"/>
      <c r="B434" s="217"/>
      <c r="C434" s="218"/>
      <c r="D434" s="219"/>
      <c r="E434" s="268"/>
      <c r="F434" s="221"/>
      <c r="G434" s="222"/>
    </row>
    <row r="435" spans="1:7" s="112" customFormat="1">
      <c r="A435" s="216"/>
      <c r="B435" s="217"/>
      <c r="C435" s="218"/>
      <c r="D435" s="219"/>
      <c r="E435" s="268"/>
      <c r="F435" s="221"/>
      <c r="G435" s="222"/>
    </row>
    <row r="436" spans="1:7" s="112" customFormat="1">
      <c r="A436" s="216"/>
      <c r="B436" s="217"/>
      <c r="C436" s="218"/>
      <c r="D436" s="219"/>
      <c r="E436" s="268"/>
      <c r="F436" s="221"/>
      <c r="G436" s="222"/>
    </row>
    <row r="437" spans="1:7" s="112" customFormat="1">
      <c r="A437" s="216"/>
      <c r="B437" s="217"/>
      <c r="C437" s="218"/>
      <c r="D437" s="219"/>
      <c r="E437" s="268"/>
      <c r="F437" s="221"/>
      <c r="G437" s="222"/>
    </row>
    <row r="438" spans="1:7" s="112" customFormat="1">
      <c r="A438" s="216"/>
      <c r="B438" s="217"/>
      <c r="C438" s="218"/>
      <c r="D438" s="219"/>
      <c r="E438" s="268"/>
      <c r="F438" s="221"/>
      <c r="G438" s="222"/>
    </row>
    <row r="439" spans="1:7" s="112" customFormat="1">
      <c r="A439" s="216"/>
      <c r="B439" s="217"/>
      <c r="C439" s="218"/>
      <c r="D439" s="219"/>
      <c r="E439" s="268"/>
      <c r="F439" s="221"/>
      <c r="G439" s="222"/>
    </row>
    <row r="440" spans="1:7" s="112" customFormat="1">
      <c r="A440" s="216"/>
      <c r="B440" s="217"/>
      <c r="C440" s="218"/>
      <c r="D440" s="219"/>
      <c r="E440" s="268"/>
      <c r="F440" s="221"/>
      <c r="G440" s="222"/>
    </row>
    <row r="441" spans="1:7" s="112" customFormat="1">
      <c r="A441" s="216"/>
      <c r="B441" s="217"/>
      <c r="C441" s="218"/>
      <c r="D441" s="219"/>
      <c r="E441" s="268"/>
      <c r="F441" s="221"/>
      <c r="G441" s="222"/>
    </row>
    <row r="442" spans="1:7" s="112" customFormat="1">
      <c r="A442" s="216"/>
      <c r="B442" s="217"/>
      <c r="C442" s="218"/>
      <c r="D442" s="219"/>
      <c r="E442" s="268"/>
      <c r="F442" s="221"/>
      <c r="G442" s="222"/>
    </row>
    <row r="443" spans="1:7" s="112" customFormat="1">
      <c r="A443" s="216"/>
      <c r="B443" s="217"/>
      <c r="C443" s="218"/>
      <c r="D443" s="219"/>
      <c r="E443" s="268"/>
      <c r="F443" s="221"/>
      <c r="G443" s="222"/>
    </row>
    <row r="444" spans="1:7" s="112" customFormat="1">
      <c r="A444" s="216"/>
      <c r="B444" s="217"/>
      <c r="C444" s="218"/>
      <c r="D444" s="219"/>
      <c r="E444" s="268"/>
      <c r="F444" s="221"/>
      <c r="G444" s="222"/>
    </row>
    <row r="445" spans="1:7" s="112" customFormat="1">
      <c r="A445" s="216"/>
      <c r="B445" s="217"/>
      <c r="C445" s="218"/>
      <c r="D445" s="219"/>
      <c r="E445" s="268"/>
      <c r="F445" s="221"/>
      <c r="G445" s="222"/>
    </row>
    <row r="446" spans="1:7" s="112" customFormat="1">
      <c r="A446" s="216"/>
      <c r="B446" s="217"/>
      <c r="C446" s="218"/>
      <c r="D446" s="219"/>
      <c r="E446" s="268"/>
      <c r="F446" s="221"/>
      <c r="G446" s="222"/>
    </row>
    <row r="447" spans="1:7" s="112" customFormat="1">
      <c r="A447" s="216"/>
      <c r="B447" s="217"/>
      <c r="C447" s="218"/>
      <c r="D447" s="219"/>
      <c r="E447" s="268"/>
      <c r="F447" s="221"/>
      <c r="G447" s="222"/>
    </row>
    <row r="448" spans="1:7" s="112" customFormat="1">
      <c r="A448" s="216"/>
      <c r="B448" s="217"/>
      <c r="C448" s="218"/>
      <c r="D448" s="219"/>
      <c r="E448" s="268"/>
      <c r="F448" s="221"/>
      <c r="G448" s="222"/>
    </row>
    <row r="449" spans="1:7" s="112" customFormat="1">
      <c r="A449" s="216"/>
      <c r="B449" s="217"/>
      <c r="C449" s="218"/>
      <c r="D449" s="219"/>
      <c r="E449" s="268"/>
      <c r="F449" s="221"/>
      <c r="G449" s="222"/>
    </row>
    <row r="450" spans="1:7" s="112" customFormat="1">
      <c r="A450" s="216"/>
      <c r="B450" s="217"/>
      <c r="C450" s="218"/>
      <c r="D450" s="219"/>
      <c r="E450" s="268"/>
      <c r="F450" s="221"/>
      <c r="G450" s="222"/>
    </row>
    <row r="451" spans="1:7" s="112" customFormat="1">
      <c r="A451" s="216"/>
      <c r="B451" s="217"/>
      <c r="C451" s="218"/>
      <c r="D451" s="219"/>
      <c r="E451" s="268"/>
      <c r="F451" s="221"/>
      <c r="G451" s="222"/>
    </row>
    <row r="452" spans="1:7" s="112" customFormat="1">
      <c r="A452" s="216"/>
      <c r="B452" s="217"/>
      <c r="C452" s="218"/>
      <c r="D452" s="219"/>
      <c r="E452" s="268"/>
      <c r="F452" s="221"/>
      <c r="G452" s="222"/>
    </row>
    <row r="453" spans="1:7" s="112" customFormat="1">
      <c r="A453" s="216"/>
      <c r="B453" s="217"/>
      <c r="C453" s="218"/>
      <c r="D453" s="219"/>
      <c r="E453" s="268"/>
      <c r="F453" s="221"/>
      <c r="G453" s="222"/>
    </row>
    <row r="454" spans="1:7" s="112" customFormat="1">
      <c r="A454" s="216"/>
      <c r="B454" s="217"/>
      <c r="C454" s="218"/>
      <c r="D454" s="219"/>
      <c r="E454" s="268"/>
      <c r="F454" s="221"/>
      <c r="G454" s="222"/>
    </row>
    <row r="455" spans="1:7" s="112" customFormat="1">
      <c r="A455" s="216"/>
      <c r="B455" s="217"/>
      <c r="C455" s="218"/>
      <c r="D455" s="219"/>
      <c r="E455" s="268"/>
      <c r="F455" s="221"/>
      <c r="G455" s="222"/>
    </row>
    <row r="456" spans="1:7" s="112" customFormat="1">
      <c r="A456" s="216"/>
      <c r="B456" s="217"/>
      <c r="C456" s="218"/>
      <c r="D456" s="219"/>
      <c r="E456" s="268"/>
      <c r="F456" s="221"/>
      <c r="G456" s="222"/>
    </row>
    <row r="457" spans="1:7" s="112" customFormat="1">
      <c r="A457" s="216"/>
      <c r="B457" s="217"/>
      <c r="C457" s="218"/>
      <c r="D457" s="219"/>
      <c r="E457" s="268"/>
      <c r="F457" s="221"/>
      <c r="G457" s="222"/>
    </row>
    <row r="458" spans="1:7" s="112" customFormat="1">
      <c r="A458" s="216"/>
      <c r="B458" s="217"/>
      <c r="C458" s="218"/>
      <c r="D458" s="219"/>
      <c r="E458" s="268"/>
      <c r="F458" s="221"/>
      <c r="G458" s="222"/>
    </row>
    <row r="459" spans="1:7" s="112" customFormat="1">
      <c r="A459" s="216"/>
      <c r="B459" s="217"/>
      <c r="C459" s="218"/>
      <c r="D459" s="219"/>
      <c r="E459" s="268"/>
      <c r="F459" s="221"/>
      <c r="G459" s="222"/>
    </row>
    <row r="460" spans="1:7" s="112" customFormat="1">
      <c r="A460" s="216"/>
      <c r="B460" s="217"/>
      <c r="C460" s="218"/>
      <c r="D460" s="219"/>
      <c r="E460" s="268"/>
      <c r="F460" s="221"/>
      <c r="G460" s="222"/>
    </row>
    <row r="461" spans="1:7" s="112" customFormat="1">
      <c r="A461" s="216"/>
      <c r="B461" s="217"/>
      <c r="C461" s="218"/>
      <c r="D461" s="219"/>
      <c r="E461" s="268"/>
      <c r="F461" s="221"/>
      <c r="G461" s="222"/>
    </row>
    <row r="462" spans="1:7" s="112" customFormat="1">
      <c r="A462" s="216"/>
      <c r="B462" s="217"/>
      <c r="C462" s="218"/>
      <c r="D462" s="219"/>
      <c r="E462" s="268"/>
      <c r="F462" s="221"/>
      <c r="G462" s="222"/>
    </row>
    <row r="463" spans="1:7" s="112" customFormat="1">
      <c r="A463" s="216"/>
      <c r="B463" s="217"/>
      <c r="C463" s="218"/>
      <c r="D463" s="219"/>
      <c r="E463" s="268"/>
      <c r="F463" s="221"/>
      <c r="G463" s="222"/>
    </row>
    <row r="464" spans="1:7" s="112" customFormat="1">
      <c r="A464" s="216"/>
      <c r="B464" s="217"/>
      <c r="C464" s="218"/>
      <c r="D464" s="219"/>
      <c r="E464" s="268"/>
      <c r="F464" s="221"/>
      <c r="G464" s="222"/>
    </row>
    <row r="465" spans="1:7" s="112" customFormat="1">
      <c r="A465" s="216"/>
      <c r="B465" s="217"/>
      <c r="C465" s="218"/>
      <c r="D465" s="219"/>
      <c r="E465" s="268"/>
      <c r="F465" s="221"/>
      <c r="G465" s="222"/>
    </row>
    <row r="466" spans="1:7" s="112" customFormat="1">
      <c r="A466" s="216"/>
      <c r="B466" s="217"/>
      <c r="C466" s="218"/>
      <c r="D466" s="219"/>
      <c r="E466" s="268"/>
      <c r="F466" s="221"/>
      <c r="G466" s="222"/>
    </row>
    <row r="467" spans="1:7" s="112" customFormat="1">
      <c r="A467" s="216"/>
      <c r="B467" s="217"/>
      <c r="C467" s="218"/>
      <c r="D467" s="219"/>
      <c r="E467" s="268"/>
      <c r="F467" s="221"/>
      <c r="G467" s="222"/>
    </row>
    <row r="468" spans="1:7" s="112" customFormat="1">
      <c r="A468" s="216"/>
      <c r="B468" s="217"/>
      <c r="C468" s="218"/>
      <c r="D468" s="219"/>
      <c r="E468" s="268"/>
      <c r="F468" s="221"/>
      <c r="G468" s="222"/>
    </row>
    <row r="469" spans="1:7" s="112" customFormat="1">
      <c r="A469" s="216"/>
      <c r="B469" s="217"/>
      <c r="C469" s="218"/>
      <c r="D469" s="219"/>
      <c r="E469" s="268"/>
      <c r="F469" s="221"/>
      <c r="G469" s="222"/>
    </row>
    <row r="470" spans="1:7" s="112" customFormat="1">
      <c r="A470" s="216"/>
      <c r="B470" s="217"/>
      <c r="C470" s="218"/>
      <c r="D470" s="219"/>
      <c r="E470" s="268"/>
      <c r="F470" s="221"/>
      <c r="G470" s="222"/>
    </row>
    <row r="471" spans="1:7" s="112" customFormat="1">
      <c r="A471" s="216"/>
      <c r="B471" s="217"/>
      <c r="C471" s="218"/>
      <c r="D471" s="219"/>
      <c r="E471" s="268"/>
      <c r="F471" s="221"/>
      <c r="G471" s="222"/>
    </row>
    <row r="472" spans="1:7" s="112" customFormat="1">
      <c r="A472" s="216"/>
      <c r="B472" s="217"/>
      <c r="C472" s="218"/>
      <c r="D472" s="219"/>
      <c r="E472" s="268"/>
      <c r="F472" s="221"/>
      <c r="G472" s="222"/>
    </row>
    <row r="473" spans="1:7" s="112" customFormat="1">
      <c r="A473" s="216"/>
      <c r="B473" s="217"/>
      <c r="C473" s="218"/>
      <c r="D473" s="219"/>
      <c r="E473" s="268"/>
      <c r="F473" s="221"/>
      <c r="G473" s="222"/>
    </row>
    <row r="474" spans="1:7" s="112" customFormat="1">
      <c r="A474" s="216"/>
      <c r="B474" s="217"/>
      <c r="C474" s="218"/>
      <c r="D474" s="219"/>
      <c r="E474" s="268"/>
      <c r="F474" s="221"/>
      <c r="G474" s="222"/>
    </row>
    <row r="475" spans="1:7" s="112" customFormat="1">
      <c r="A475" s="216"/>
      <c r="B475" s="217"/>
      <c r="C475" s="218"/>
      <c r="D475" s="219"/>
      <c r="E475" s="268"/>
      <c r="F475" s="221"/>
      <c r="G475" s="222"/>
    </row>
    <row r="476" spans="1:7" s="112" customFormat="1">
      <c r="A476" s="216"/>
      <c r="B476" s="217"/>
      <c r="C476" s="218"/>
      <c r="D476" s="219"/>
      <c r="E476" s="268"/>
      <c r="F476" s="221"/>
      <c r="G476" s="222"/>
    </row>
    <row r="477" spans="1:7" s="112" customFormat="1">
      <c r="A477" s="216"/>
      <c r="B477" s="217"/>
      <c r="C477" s="218"/>
      <c r="D477" s="219"/>
      <c r="E477" s="268"/>
      <c r="F477" s="221"/>
      <c r="G477" s="222"/>
    </row>
    <row r="478" spans="1:7" s="112" customFormat="1">
      <c r="A478" s="216"/>
      <c r="B478" s="217"/>
      <c r="C478" s="218"/>
      <c r="D478" s="219"/>
      <c r="E478" s="268"/>
      <c r="F478" s="221"/>
      <c r="G478" s="222"/>
    </row>
    <row r="479" spans="1:7" s="112" customFormat="1">
      <c r="A479" s="216"/>
      <c r="B479" s="217"/>
      <c r="C479" s="218"/>
      <c r="D479" s="219"/>
      <c r="E479" s="268"/>
      <c r="F479" s="221"/>
      <c r="G479" s="222"/>
    </row>
    <row r="480" spans="1:7" s="112" customFormat="1">
      <c r="A480" s="216"/>
      <c r="B480" s="217"/>
      <c r="C480" s="218"/>
      <c r="D480" s="219"/>
      <c r="E480" s="268"/>
      <c r="F480" s="221"/>
      <c r="G480" s="222"/>
    </row>
    <row r="481" spans="1:8" s="112" customFormat="1">
      <c r="A481" s="216"/>
      <c r="B481" s="217"/>
      <c r="C481" s="218"/>
      <c r="D481" s="219"/>
      <c r="E481" s="268"/>
      <c r="F481" s="221"/>
      <c r="G481" s="222"/>
    </row>
    <row r="482" spans="1:8" s="112" customFormat="1">
      <c r="A482" s="216"/>
      <c r="B482" s="217"/>
      <c r="C482" s="218"/>
      <c r="D482" s="219"/>
      <c r="E482" s="268"/>
      <c r="F482" s="221"/>
      <c r="G482" s="222"/>
    </row>
    <row r="483" spans="1:8" s="112" customFormat="1">
      <c r="A483" s="216"/>
      <c r="B483" s="217"/>
      <c r="C483" s="218"/>
      <c r="D483" s="219"/>
      <c r="E483" s="268"/>
      <c r="F483" s="221"/>
      <c r="G483" s="222"/>
    </row>
    <row r="484" spans="1:8" s="112" customFormat="1">
      <c r="A484" s="216"/>
      <c r="B484" s="217"/>
      <c r="C484" s="218"/>
      <c r="D484" s="219"/>
      <c r="E484" s="268"/>
      <c r="F484" s="221"/>
      <c r="G484" s="222"/>
    </row>
    <row r="485" spans="1:8" s="112" customFormat="1">
      <c r="A485" s="216"/>
      <c r="B485" s="217"/>
      <c r="C485" s="218"/>
      <c r="D485" s="219"/>
      <c r="E485" s="268"/>
      <c r="F485" s="221"/>
      <c r="G485" s="222"/>
    </row>
    <row r="486" spans="1:8" s="112" customFormat="1">
      <c r="A486" s="216"/>
      <c r="B486" s="217"/>
      <c r="C486" s="218"/>
      <c r="D486" s="219"/>
      <c r="E486" s="268"/>
      <c r="F486" s="221"/>
      <c r="G486" s="222"/>
    </row>
    <row r="487" spans="1:8" s="112" customFormat="1">
      <c r="A487" s="216"/>
      <c r="B487" s="217"/>
      <c r="C487" s="218"/>
      <c r="D487" s="219"/>
      <c r="E487" s="268"/>
      <c r="F487" s="221"/>
      <c r="G487" s="222"/>
    </row>
    <row r="488" spans="1:8" s="112" customFormat="1">
      <c r="A488" s="216"/>
      <c r="B488" s="217"/>
      <c r="C488" s="218"/>
      <c r="D488" s="219"/>
      <c r="E488" s="268"/>
      <c r="F488" s="221"/>
      <c r="G488" s="222"/>
    </row>
    <row r="489" spans="1:8" s="112" customFormat="1">
      <c r="A489" s="216"/>
      <c r="B489" s="217"/>
      <c r="C489" s="218"/>
      <c r="D489" s="219"/>
      <c r="E489" s="268"/>
      <c r="F489" s="221"/>
      <c r="G489" s="222"/>
    </row>
    <row r="490" spans="1:8" s="112" customFormat="1">
      <c r="A490" s="216"/>
      <c r="B490" s="217"/>
      <c r="C490" s="218"/>
      <c r="D490" s="219"/>
      <c r="E490" s="268"/>
      <c r="F490" s="221"/>
      <c r="G490" s="222"/>
    </row>
    <row r="491" spans="1:8" s="112" customFormat="1">
      <c r="A491" s="216"/>
      <c r="B491" s="217"/>
      <c r="C491" s="218"/>
      <c r="D491" s="219"/>
      <c r="E491" s="268"/>
      <c r="F491" s="221"/>
      <c r="G491" s="222"/>
    </row>
    <row r="492" spans="1:8" s="112" customFormat="1">
      <c r="A492" s="216"/>
      <c r="B492" s="217"/>
      <c r="C492" s="218"/>
      <c r="D492" s="219"/>
      <c r="E492" s="268"/>
      <c r="F492" s="221"/>
      <c r="G492" s="222"/>
    </row>
    <row r="493" spans="1:8">
      <c r="B493" s="217"/>
      <c r="C493" s="218"/>
      <c r="D493" s="219"/>
      <c r="E493" s="268"/>
      <c r="F493" s="221"/>
      <c r="G493" s="222"/>
      <c r="H493" s="112"/>
    </row>
    <row r="494" spans="1:8">
      <c r="B494" s="217"/>
      <c r="C494" s="218"/>
      <c r="D494" s="219"/>
      <c r="E494" s="268"/>
      <c r="F494" s="221"/>
      <c r="G494" s="222"/>
      <c r="H494" s="112"/>
    </row>
    <row r="495" spans="1:8">
      <c r="B495" s="217"/>
      <c r="C495" s="218"/>
      <c r="D495" s="219"/>
      <c r="E495" s="268"/>
      <c r="F495" s="221"/>
      <c r="G495" s="222"/>
      <c r="H495" s="112"/>
    </row>
    <row r="496" spans="1:8">
      <c r="B496" s="217"/>
      <c r="C496" s="218"/>
      <c r="D496" s="219"/>
      <c r="E496" s="268"/>
      <c r="F496" s="221"/>
      <c r="G496" s="222"/>
      <c r="H496" s="112"/>
    </row>
    <row r="497" spans="2:8">
      <c r="B497" s="217"/>
      <c r="C497" s="218"/>
      <c r="D497" s="219"/>
      <c r="E497" s="268"/>
      <c r="F497" s="221"/>
      <c r="G497" s="222"/>
      <c r="H497" s="112"/>
    </row>
    <row r="498" spans="2:8">
      <c r="B498" s="217"/>
      <c r="C498" s="218"/>
      <c r="D498" s="219"/>
      <c r="E498" s="268"/>
      <c r="F498" s="221"/>
    </row>
  </sheetData>
  <autoFilter ref="B2:K2"/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0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K498"/>
  <sheetViews>
    <sheetView view="pageBreakPreview" workbookViewId="0">
      <selection activeCell="J3" sqref="J3"/>
    </sheetView>
  </sheetViews>
  <sheetFormatPr defaultRowHeight="12"/>
  <cols>
    <col min="1" max="1" width="3.75" style="31" customWidth="1"/>
    <col min="2" max="2" width="13" style="62" customWidth="1"/>
    <col min="3" max="3" width="24.875" style="8" customWidth="1"/>
    <col min="4" max="4" width="28.875" style="226" customWidth="1"/>
    <col min="5" max="5" width="5.375" style="227" customWidth="1"/>
    <col min="6" max="6" width="9" style="64" customWidth="1"/>
    <col min="7" max="7" width="9" style="225" customWidth="1"/>
    <col min="8" max="8" width="9" style="9" customWidth="1"/>
    <col min="9" max="9" width="7.375" style="227" customWidth="1"/>
    <col min="10" max="10" width="7.125" style="9" customWidth="1"/>
    <col min="11" max="11" width="7.25" style="9" customWidth="1"/>
    <col min="12" max="12" width="10.375" style="9" customWidth="1"/>
    <col min="13" max="16384" width="9" style="9"/>
  </cols>
  <sheetData>
    <row r="1" spans="1:11" s="145" customFormat="1" ht="37.5" customHeight="1" thickBot="1">
      <c r="A1" s="30"/>
      <c r="B1" s="63" t="s">
        <v>163</v>
      </c>
      <c r="C1" s="314" t="s">
        <v>365</v>
      </c>
      <c r="D1" s="315"/>
      <c r="E1" s="2"/>
      <c r="F1" s="66"/>
      <c r="G1" s="54" t="s">
        <v>164</v>
      </c>
      <c r="H1"/>
      <c r="I1" s="2" t="s">
        <v>165</v>
      </c>
      <c r="J1" s="235"/>
      <c r="K1"/>
    </row>
    <row r="2" spans="1:11" s="149" customFormat="1" ht="34.5" customHeight="1">
      <c r="A2" s="148"/>
      <c r="B2" s="149" t="s">
        <v>364</v>
      </c>
      <c r="C2" s="149" t="s">
        <v>167</v>
      </c>
      <c r="D2" s="149" t="s">
        <v>5</v>
      </c>
      <c r="F2" s="150" t="s">
        <v>168</v>
      </c>
      <c r="G2" s="151" t="s">
        <v>169</v>
      </c>
      <c r="H2" s="152" t="s">
        <v>170</v>
      </c>
      <c r="I2" s="153" t="s">
        <v>171</v>
      </c>
      <c r="J2" s="153" t="s">
        <v>172</v>
      </c>
      <c r="K2" s="153" t="s">
        <v>173</v>
      </c>
    </row>
    <row r="3" spans="1:11" s="3" customFormat="1" ht="21" customHeight="1">
      <c r="A3" s="156" t="s">
        <v>12</v>
      </c>
      <c r="B3" s="157"/>
      <c r="C3" s="158"/>
      <c r="D3" s="159"/>
      <c r="E3" s="230"/>
      <c r="F3" s="160"/>
      <c r="G3" s="161"/>
      <c r="H3" s="162"/>
      <c r="I3" s="272"/>
      <c r="J3" s="163"/>
      <c r="K3" s="164"/>
    </row>
    <row r="4" spans="1:11" s="3" customFormat="1" ht="21" customHeight="1">
      <c r="A4" s="156" t="s">
        <v>13</v>
      </c>
      <c r="B4" s="167"/>
      <c r="C4" s="168"/>
      <c r="D4" s="169"/>
      <c r="E4" s="231"/>
      <c r="F4" s="160"/>
      <c r="G4" s="161"/>
      <c r="H4" s="162"/>
      <c r="I4" s="272"/>
      <c r="J4" s="163"/>
      <c r="K4" s="164"/>
    </row>
    <row r="5" spans="1:11" s="3" customFormat="1" ht="21" customHeight="1">
      <c r="A5" s="156" t="s">
        <v>14</v>
      </c>
      <c r="B5" s="167"/>
      <c r="C5" s="168"/>
      <c r="D5" s="169"/>
      <c r="E5" s="231"/>
      <c r="F5" s="160"/>
      <c r="G5" s="161"/>
      <c r="H5" s="162"/>
      <c r="I5" s="272"/>
      <c r="J5" s="163"/>
      <c r="K5" s="164"/>
    </row>
    <row r="6" spans="1:11" s="3" customFormat="1" ht="21" customHeight="1">
      <c r="A6" s="156" t="s">
        <v>15</v>
      </c>
      <c r="B6" s="171"/>
      <c r="C6" s="168"/>
      <c r="D6" s="169"/>
      <c r="E6" s="231"/>
      <c r="F6" s="160"/>
      <c r="G6" s="161"/>
      <c r="H6" s="162"/>
      <c r="I6" s="272"/>
      <c r="J6" s="163"/>
      <c r="K6" s="164"/>
    </row>
    <row r="7" spans="1:11" s="3" customFormat="1" ht="21" customHeight="1">
      <c r="A7" s="156" t="s">
        <v>16</v>
      </c>
      <c r="B7" s="167"/>
      <c r="C7" s="172"/>
      <c r="D7" s="159"/>
      <c r="E7" s="230"/>
      <c r="F7" s="160"/>
      <c r="G7" s="161"/>
      <c r="H7" s="162"/>
      <c r="I7" s="272"/>
      <c r="J7" s="163"/>
      <c r="K7" s="164"/>
    </row>
    <row r="8" spans="1:11" s="3" customFormat="1" ht="21" customHeight="1">
      <c r="A8" s="156" t="s">
        <v>17</v>
      </c>
      <c r="B8" s="167"/>
      <c r="C8" s="172"/>
      <c r="D8" s="159"/>
      <c r="E8" s="230"/>
      <c r="F8" s="160"/>
      <c r="G8" s="161"/>
      <c r="H8" s="162"/>
      <c r="I8" s="272"/>
      <c r="J8" s="163"/>
      <c r="K8" s="164"/>
    </row>
    <row r="9" spans="1:11" s="3" customFormat="1" ht="21" customHeight="1">
      <c r="A9" s="156" t="s">
        <v>18</v>
      </c>
      <c r="B9" s="167"/>
      <c r="C9" s="158"/>
      <c r="D9" s="159"/>
      <c r="E9" s="230"/>
      <c r="F9" s="160"/>
      <c r="G9" s="161"/>
      <c r="H9" s="162"/>
      <c r="I9" s="163"/>
      <c r="J9" s="164"/>
      <c r="K9" s="163"/>
    </row>
    <row r="10" spans="1:11" s="3" customFormat="1" ht="21" customHeight="1" thickBot="1">
      <c r="A10" s="173" t="s">
        <v>19</v>
      </c>
      <c r="B10" s="174"/>
      <c r="C10" s="175"/>
      <c r="D10" s="176"/>
      <c r="E10" s="232"/>
      <c r="F10" s="177"/>
      <c r="G10" s="178"/>
      <c r="H10" s="177"/>
      <c r="I10" s="179"/>
      <c r="J10" s="180"/>
      <c r="K10" s="179"/>
    </row>
    <row r="11" spans="1:11" s="3" customFormat="1" ht="21" customHeight="1" thickTop="1">
      <c r="A11" s="183" t="s">
        <v>20</v>
      </c>
      <c r="B11" s="184"/>
      <c r="C11" s="185"/>
      <c r="D11" s="186"/>
      <c r="E11" s="233"/>
      <c r="F11" s="187"/>
      <c r="G11" s="188"/>
      <c r="H11" s="189"/>
      <c r="I11" s="190"/>
      <c r="J11" s="191"/>
      <c r="K11" s="190"/>
    </row>
    <row r="12" spans="1:11" s="3" customFormat="1" ht="21" customHeight="1">
      <c r="A12" s="156" t="s">
        <v>21</v>
      </c>
      <c r="B12" s="167"/>
      <c r="C12" s="168"/>
      <c r="D12" s="169"/>
      <c r="E12" s="231"/>
      <c r="F12" s="160"/>
      <c r="G12" s="161"/>
      <c r="H12" s="162"/>
      <c r="I12" s="163"/>
      <c r="J12" s="164"/>
      <c r="K12" s="163"/>
    </row>
    <row r="13" spans="1:11" s="3" customFormat="1" ht="21" customHeight="1">
      <c r="A13" s="156" t="s">
        <v>22</v>
      </c>
      <c r="B13" s="167"/>
      <c r="C13" s="168"/>
      <c r="D13" s="169"/>
      <c r="E13" s="231"/>
      <c r="F13" s="160"/>
      <c r="G13" s="161"/>
      <c r="H13" s="162"/>
      <c r="I13" s="163"/>
      <c r="J13" s="164"/>
      <c r="K13" s="163"/>
    </row>
    <row r="14" spans="1:11" s="3" customFormat="1" ht="21" customHeight="1">
      <c r="A14" s="156" t="s">
        <v>23</v>
      </c>
      <c r="B14" s="171"/>
      <c r="C14" s="194"/>
      <c r="D14" s="195"/>
      <c r="E14" s="234"/>
      <c r="F14" s="160"/>
      <c r="G14" s="161"/>
      <c r="H14" s="162"/>
      <c r="I14" s="163"/>
      <c r="J14" s="164"/>
      <c r="K14" s="163"/>
    </row>
    <row r="15" spans="1:11" s="3" customFormat="1" ht="21" customHeight="1">
      <c r="A15" s="156" t="s">
        <v>24</v>
      </c>
      <c r="B15" s="167"/>
      <c r="C15" s="172"/>
      <c r="D15" s="159"/>
      <c r="E15" s="230"/>
      <c r="F15" s="160"/>
      <c r="G15" s="161"/>
      <c r="H15" s="162"/>
      <c r="I15" s="163"/>
      <c r="J15" s="164"/>
      <c r="K15" s="163"/>
    </row>
    <row r="16" spans="1:11" s="3" customFormat="1" ht="21" customHeight="1">
      <c r="A16" s="156" t="s">
        <v>25</v>
      </c>
      <c r="B16" s="167"/>
      <c r="C16" s="158"/>
      <c r="D16" s="197"/>
      <c r="E16" s="254"/>
      <c r="F16" s="160"/>
      <c r="G16" s="161"/>
      <c r="H16" s="162"/>
      <c r="I16" s="163"/>
      <c r="J16" s="164"/>
      <c r="K16" s="163"/>
    </row>
    <row r="17" spans="1:11" s="3" customFormat="1" ht="21" customHeight="1">
      <c r="A17" s="156" t="s">
        <v>26</v>
      </c>
      <c r="B17" s="167"/>
      <c r="C17" s="158"/>
      <c r="D17" s="197"/>
      <c r="E17" s="254"/>
      <c r="F17" s="160"/>
      <c r="G17" s="161"/>
      <c r="H17" s="162"/>
      <c r="I17" s="163"/>
      <c r="J17" s="164"/>
      <c r="K17" s="163"/>
    </row>
    <row r="18" spans="1:11" s="3" customFormat="1" ht="21" customHeight="1" thickBot="1">
      <c r="A18" s="173" t="s">
        <v>27</v>
      </c>
      <c r="B18" s="174"/>
      <c r="C18" s="175"/>
      <c r="D18" s="176"/>
      <c r="E18" s="232"/>
      <c r="F18" s="177"/>
      <c r="G18" s="178"/>
      <c r="H18" s="177"/>
      <c r="I18" s="179"/>
      <c r="J18" s="180"/>
      <c r="K18" s="179"/>
    </row>
    <row r="19" spans="1:11" s="3" customFormat="1" ht="21" customHeight="1" thickTop="1">
      <c r="A19" s="156" t="s">
        <v>28</v>
      </c>
      <c r="B19" s="157"/>
      <c r="C19" s="158"/>
      <c r="D19" s="159"/>
      <c r="E19" s="230"/>
      <c r="F19" s="160"/>
      <c r="G19" s="161"/>
      <c r="H19" s="162"/>
      <c r="I19" s="163"/>
      <c r="J19" s="164"/>
      <c r="K19" s="163"/>
    </row>
    <row r="20" spans="1:11" s="3" customFormat="1" ht="21" customHeight="1">
      <c r="A20" s="156" t="s">
        <v>29</v>
      </c>
      <c r="B20" s="167"/>
      <c r="C20" s="168"/>
      <c r="D20" s="169"/>
      <c r="E20" s="231"/>
      <c r="F20" s="160"/>
      <c r="G20" s="161"/>
      <c r="H20" s="162"/>
      <c r="I20" s="163"/>
      <c r="J20" s="164"/>
      <c r="K20" s="163"/>
    </row>
    <row r="21" spans="1:11" s="3" customFormat="1" ht="21" customHeight="1">
      <c r="A21" s="156" t="s">
        <v>30</v>
      </c>
      <c r="B21" s="167"/>
      <c r="C21" s="168"/>
      <c r="D21" s="169"/>
      <c r="E21" s="231"/>
      <c r="F21" s="160"/>
      <c r="G21" s="161"/>
      <c r="H21" s="162"/>
      <c r="I21" s="163"/>
      <c r="J21" s="164"/>
      <c r="K21" s="163"/>
    </row>
    <row r="22" spans="1:11" s="3" customFormat="1" ht="21" customHeight="1">
      <c r="A22" s="156" t="s">
        <v>31</v>
      </c>
      <c r="B22" s="167"/>
      <c r="C22" s="168"/>
      <c r="D22" s="169"/>
      <c r="E22" s="231"/>
      <c r="F22" s="160"/>
      <c r="G22" s="161"/>
      <c r="H22" s="162"/>
      <c r="I22" s="163"/>
      <c r="J22" s="164"/>
      <c r="K22" s="199"/>
    </row>
    <row r="23" spans="1:11" s="3" customFormat="1" ht="21" customHeight="1">
      <c r="A23" s="156" t="s">
        <v>32</v>
      </c>
      <c r="B23" s="167"/>
      <c r="C23" s="168"/>
      <c r="D23" s="169"/>
      <c r="E23" s="231"/>
      <c r="F23" s="160"/>
      <c r="G23" s="161"/>
      <c r="H23" s="200"/>
      <c r="I23" s="163"/>
      <c r="J23" s="164"/>
      <c r="K23" s="199"/>
    </row>
    <row r="24" spans="1:11" s="3" customFormat="1" ht="21" customHeight="1">
      <c r="A24" s="156" t="s">
        <v>33</v>
      </c>
      <c r="B24" s="171"/>
      <c r="C24" s="194"/>
      <c r="D24" s="197"/>
      <c r="E24" s="254"/>
      <c r="F24" s="160"/>
      <c r="G24" s="161"/>
      <c r="H24" s="162"/>
      <c r="I24" s="163"/>
      <c r="J24" s="164"/>
      <c r="K24" s="163"/>
    </row>
    <row r="25" spans="1:11" s="3" customFormat="1" ht="21" customHeight="1">
      <c r="A25" s="156" t="s">
        <v>34</v>
      </c>
      <c r="B25" s="171"/>
      <c r="C25" s="194"/>
      <c r="D25" s="195"/>
      <c r="E25" s="234"/>
      <c r="F25" s="160"/>
      <c r="G25" s="161"/>
      <c r="H25" s="162"/>
      <c r="I25" s="163"/>
      <c r="J25" s="164"/>
      <c r="K25" s="163"/>
    </row>
    <row r="26" spans="1:11" s="3" customFormat="1" ht="21" customHeight="1" thickBot="1">
      <c r="A26" s="173" t="s">
        <v>35</v>
      </c>
      <c r="B26" s="174"/>
      <c r="C26" s="175"/>
      <c r="D26" s="176"/>
      <c r="E26" s="232"/>
      <c r="F26" s="177"/>
      <c r="G26" s="178"/>
      <c r="H26" s="177"/>
      <c r="I26" s="179"/>
      <c r="J26" s="180"/>
      <c r="K26" s="179"/>
    </row>
    <row r="27" spans="1:11" s="3" customFormat="1" ht="21" customHeight="1" thickTop="1">
      <c r="A27" s="156" t="s">
        <v>36</v>
      </c>
      <c r="B27" s="157"/>
      <c r="C27" s="158"/>
      <c r="D27" s="159"/>
      <c r="E27" s="230"/>
      <c r="F27" s="160"/>
      <c r="G27" s="161"/>
      <c r="H27" s="162"/>
      <c r="I27" s="163"/>
      <c r="J27" s="164"/>
      <c r="K27" s="163"/>
    </row>
    <row r="28" spans="1:11" s="3" customFormat="1" ht="21" customHeight="1">
      <c r="A28" s="156" t="s">
        <v>37</v>
      </c>
      <c r="B28" s="167"/>
      <c r="C28" s="168"/>
      <c r="D28" s="169"/>
      <c r="E28" s="231"/>
      <c r="F28" s="160"/>
      <c r="G28" s="161"/>
      <c r="H28" s="162"/>
      <c r="I28" s="163"/>
      <c r="J28" s="164"/>
      <c r="K28" s="163"/>
    </row>
    <row r="29" spans="1:11" s="3" customFormat="1" ht="21" customHeight="1">
      <c r="A29" s="156" t="s">
        <v>38</v>
      </c>
      <c r="B29" s="167"/>
      <c r="C29" s="168"/>
      <c r="D29" s="169"/>
      <c r="E29" s="231"/>
      <c r="F29" s="160"/>
      <c r="G29" s="161"/>
      <c r="H29" s="162"/>
      <c r="I29" s="163"/>
      <c r="J29" s="164"/>
      <c r="K29" s="163"/>
    </row>
    <row r="30" spans="1:11" s="3" customFormat="1" ht="21" customHeight="1">
      <c r="A30" s="156" t="s">
        <v>39</v>
      </c>
      <c r="B30" s="171"/>
      <c r="C30" s="168"/>
      <c r="D30" s="169"/>
      <c r="E30" s="231"/>
      <c r="F30" s="160"/>
      <c r="G30" s="161"/>
      <c r="H30" s="162"/>
      <c r="I30" s="163"/>
      <c r="J30" s="164"/>
      <c r="K30" s="163"/>
    </row>
    <row r="31" spans="1:11" s="3" customFormat="1" ht="21" customHeight="1">
      <c r="A31" s="156" t="s">
        <v>40</v>
      </c>
      <c r="B31" s="167"/>
      <c r="C31" s="168"/>
      <c r="D31" s="159"/>
      <c r="E31" s="230"/>
      <c r="F31" s="160"/>
      <c r="G31" s="161"/>
      <c r="H31" s="162"/>
      <c r="I31" s="163"/>
      <c r="J31" s="164"/>
      <c r="K31" s="163"/>
    </row>
    <row r="32" spans="1:11" s="3" customFormat="1" ht="21" customHeight="1">
      <c r="A32" s="156" t="s">
        <v>41</v>
      </c>
      <c r="B32" s="167"/>
      <c r="C32" s="158"/>
      <c r="D32" s="159"/>
      <c r="E32" s="230"/>
      <c r="F32" s="160"/>
      <c r="G32" s="161"/>
      <c r="H32" s="162"/>
      <c r="I32" s="163"/>
      <c r="J32" s="164"/>
      <c r="K32" s="163"/>
    </row>
    <row r="33" spans="1:11" s="3" customFormat="1" ht="21" customHeight="1">
      <c r="A33" s="156" t="s">
        <v>42</v>
      </c>
      <c r="B33" s="167"/>
      <c r="C33" s="158"/>
      <c r="D33" s="159"/>
      <c r="E33" s="230"/>
      <c r="F33" s="160"/>
      <c r="G33" s="161"/>
      <c r="H33" s="162"/>
      <c r="I33" s="163"/>
      <c r="J33" s="164"/>
      <c r="K33" s="163"/>
    </row>
    <row r="34" spans="1:11" s="3" customFormat="1" ht="21" customHeight="1" thickBot="1">
      <c r="A34" s="173" t="s">
        <v>43</v>
      </c>
      <c r="B34" s="174"/>
      <c r="C34" s="175"/>
      <c r="D34" s="176"/>
      <c r="E34" s="232"/>
      <c r="F34" s="177"/>
      <c r="G34" s="178"/>
      <c r="H34" s="177"/>
      <c r="I34" s="179"/>
      <c r="J34" s="180"/>
      <c r="K34" s="179"/>
    </row>
    <row r="35" spans="1:11" s="3" customFormat="1" ht="21" customHeight="1" thickTop="1">
      <c r="A35" s="183" t="s">
        <v>44</v>
      </c>
      <c r="B35" s="184"/>
      <c r="C35" s="185"/>
      <c r="D35" s="186"/>
      <c r="E35" s="233"/>
      <c r="F35" s="187"/>
      <c r="G35" s="188"/>
      <c r="H35" s="189"/>
      <c r="I35" s="190"/>
      <c r="J35" s="191"/>
      <c r="K35" s="190"/>
    </row>
    <row r="36" spans="1:11" s="3" customFormat="1" ht="21" customHeight="1">
      <c r="A36" s="156" t="s">
        <v>45</v>
      </c>
      <c r="B36" s="167"/>
      <c r="C36" s="168"/>
      <c r="D36" s="169"/>
      <c r="E36" s="231"/>
      <c r="F36" s="160"/>
      <c r="G36" s="161"/>
      <c r="H36" s="162"/>
      <c r="I36" s="163"/>
      <c r="J36" s="164"/>
      <c r="K36" s="163"/>
    </row>
    <row r="37" spans="1:11" s="3" customFormat="1" ht="21" customHeight="1">
      <c r="A37" s="156" t="s">
        <v>46</v>
      </c>
      <c r="B37" s="167"/>
      <c r="C37" s="168"/>
      <c r="D37" s="169"/>
      <c r="E37" s="231"/>
      <c r="F37" s="160"/>
      <c r="G37" s="161"/>
      <c r="H37" s="162"/>
      <c r="I37" s="163"/>
      <c r="J37" s="164"/>
      <c r="K37" s="163"/>
    </row>
    <row r="38" spans="1:11" s="3" customFormat="1" ht="21" customHeight="1">
      <c r="A38" s="156" t="s">
        <v>47</v>
      </c>
      <c r="B38" s="171"/>
      <c r="C38" s="168"/>
      <c r="D38" s="195"/>
      <c r="E38" s="234"/>
      <c r="F38" s="160"/>
      <c r="G38" s="161"/>
      <c r="H38" s="162"/>
      <c r="I38" s="163"/>
      <c r="J38" s="164"/>
      <c r="K38" s="163"/>
    </row>
    <row r="39" spans="1:11" s="3" customFormat="1" ht="21" customHeight="1">
      <c r="A39" s="156" t="s">
        <v>48</v>
      </c>
      <c r="B39" s="167"/>
      <c r="C39" s="168"/>
      <c r="D39" s="159"/>
      <c r="E39" s="230"/>
      <c r="F39" s="160"/>
      <c r="G39" s="161"/>
      <c r="H39" s="162"/>
      <c r="I39" s="163"/>
      <c r="J39" s="164"/>
      <c r="K39" s="163"/>
    </row>
    <row r="40" spans="1:11" s="3" customFormat="1" ht="21" customHeight="1">
      <c r="A40" s="156" t="s">
        <v>49</v>
      </c>
      <c r="B40" s="167"/>
      <c r="C40" s="158"/>
      <c r="D40" s="197"/>
      <c r="E40" s="254"/>
      <c r="F40" s="160"/>
      <c r="G40" s="161"/>
      <c r="H40" s="162"/>
      <c r="I40" s="163"/>
      <c r="J40" s="164"/>
      <c r="K40" s="163"/>
    </row>
    <row r="41" spans="1:11" s="3" customFormat="1" ht="21" customHeight="1">
      <c r="A41" s="156" t="s">
        <v>50</v>
      </c>
      <c r="B41" s="167"/>
      <c r="C41" s="158"/>
      <c r="D41" s="197"/>
      <c r="E41" s="254"/>
      <c r="F41" s="160"/>
      <c r="G41" s="161"/>
      <c r="H41" s="162"/>
      <c r="I41" s="163"/>
      <c r="J41" s="164"/>
      <c r="K41" s="163"/>
    </row>
    <row r="42" spans="1:11" s="3" customFormat="1" ht="21" customHeight="1" thickBot="1">
      <c r="A42" s="173" t="s">
        <v>51</v>
      </c>
      <c r="B42" s="174"/>
      <c r="C42" s="175"/>
      <c r="D42" s="176"/>
      <c r="E42" s="232"/>
      <c r="F42" s="177"/>
      <c r="G42" s="178"/>
      <c r="H42" s="177"/>
      <c r="I42" s="179"/>
      <c r="J42" s="180"/>
      <c r="K42" s="179"/>
    </row>
    <row r="43" spans="1:11" s="3" customFormat="1" ht="21" customHeight="1" thickTop="1">
      <c r="A43" s="156" t="s">
        <v>52</v>
      </c>
      <c r="B43" s="157"/>
      <c r="C43" s="158"/>
      <c r="D43" s="159"/>
      <c r="E43" s="230"/>
      <c r="F43" s="160"/>
      <c r="G43" s="161"/>
      <c r="H43" s="162"/>
      <c r="I43" s="163"/>
      <c r="J43" s="164"/>
      <c r="K43" s="163"/>
    </row>
    <row r="44" spans="1:11" s="3" customFormat="1" ht="21" customHeight="1">
      <c r="A44" s="156" t="s">
        <v>53</v>
      </c>
      <c r="B44" s="167"/>
      <c r="C44" s="168"/>
      <c r="D44" s="169"/>
      <c r="E44" s="231"/>
      <c r="F44" s="160"/>
      <c r="G44" s="161"/>
      <c r="H44" s="162"/>
      <c r="I44" s="163"/>
      <c r="J44" s="164"/>
      <c r="K44" s="163"/>
    </row>
    <row r="45" spans="1:11" s="3" customFormat="1" ht="21" customHeight="1">
      <c r="A45" s="156" t="s">
        <v>54</v>
      </c>
      <c r="B45" s="167"/>
      <c r="C45" s="168"/>
      <c r="D45" s="169"/>
      <c r="E45" s="231"/>
      <c r="F45" s="160"/>
      <c r="G45" s="161"/>
      <c r="H45" s="162"/>
      <c r="I45" s="163"/>
      <c r="J45" s="164"/>
      <c r="K45" s="163"/>
    </row>
    <row r="46" spans="1:11" s="3" customFormat="1" ht="21" customHeight="1">
      <c r="A46" s="156" t="s">
        <v>55</v>
      </c>
      <c r="B46" s="167"/>
      <c r="C46" s="168"/>
      <c r="D46" s="169"/>
      <c r="E46" s="231"/>
      <c r="F46" s="160"/>
      <c r="G46" s="161"/>
      <c r="H46" s="162"/>
      <c r="I46" s="163"/>
      <c r="J46" s="164"/>
      <c r="K46" s="199"/>
    </row>
    <row r="47" spans="1:11" s="3" customFormat="1" ht="21" customHeight="1">
      <c r="A47" s="156" t="s">
        <v>56</v>
      </c>
      <c r="B47" s="167"/>
      <c r="C47" s="168"/>
      <c r="D47" s="169"/>
      <c r="E47" s="231"/>
      <c r="F47" s="160"/>
      <c r="G47" s="161"/>
      <c r="H47" s="200"/>
      <c r="I47" s="163"/>
      <c r="J47" s="164"/>
      <c r="K47" s="199"/>
    </row>
    <row r="48" spans="1:11" s="3" customFormat="1" ht="21" customHeight="1">
      <c r="A48" s="156" t="s">
        <v>57</v>
      </c>
      <c r="B48" s="171"/>
      <c r="C48" s="194"/>
      <c r="D48" s="197"/>
      <c r="E48" s="254"/>
      <c r="F48" s="160"/>
      <c r="G48" s="161"/>
      <c r="H48" s="162"/>
      <c r="I48" s="163"/>
      <c r="J48" s="164"/>
      <c r="K48" s="163"/>
    </row>
    <row r="49" spans="1:11" s="3" customFormat="1" ht="21" customHeight="1">
      <c r="A49" s="156" t="s">
        <v>58</v>
      </c>
      <c r="B49" s="171"/>
      <c r="C49" s="194"/>
      <c r="D49" s="195"/>
      <c r="E49" s="234"/>
      <c r="F49" s="160"/>
      <c r="G49" s="161"/>
      <c r="H49" s="162"/>
      <c r="I49" s="163"/>
      <c r="J49" s="164"/>
      <c r="K49" s="163"/>
    </row>
    <row r="50" spans="1:11" s="3" customFormat="1" ht="21" customHeight="1" thickBot="1">
      <c r="A50" s="173" t="s">
        <v>59</v>
      </c>
      <c r="B50" s="174"/>
      <c r="C50" s="175"/>
      <c r="D50" s="176"/>
      <c r="E50" s="232"/>
      <c r="F50" s="177"/>
      <c r="G50" s="178"/>
      <c r="H50" s="177"/>
      <c r="I50" s="179"/>
      <c r="J50" s="180"/>
      <c r="K50" s="179"/>
    </row>
    <row r="51" spans="1:11" s="3" customFormat="1" ht="21" customHeight="1" thickTop="1">
      <c r="A51" s="156" t="s">
        <v>60</v>
      </c>
      <c r="B51" s="157"/>
      <c r="C51" s="158"/>
      <c r="D51" s="159"/>
      <c r="E51" s="230"/>
      <c r="F51" s="160"/>
      <c r="G51" s="161"/>
      <c r="H51" s="162"/>
      <c r="I51" s="163"/>
      <c r="J51" s="164"/>
      <c r="K51" s="163"/>
    </row>
    <row r="52" spans="1:11" s="3" customFormat="1" ht="21" customHeight="1">
      <c r="A52" s="156" t="s">
        <v>61</v>
      </c>
      <c r="B52" s="167"/>
      <c r="C52" s="168"/>
      <c r="D52" s="169"/>
      <c r="E52" s="231"/>
      <c r="F52" s="160"/>
      <c r="G52" s="161"/>
      <c r="H52" s="162"/>
      <c r="I52" s="163"/>
      <c r="J52" s="164"/>
      <c r="K52" s="163"/>
    </row>
    <row r="53" spans="1:11" s="3" customFormat="1" ht="21" customHeight="1">
      <c r="A53" s="156" t="s">
        <v>62</v>
      </c>
      <c r="B53" s="167"/>
      <c r="C53" s="168"/>
      <c r="D53" s="169"/>
      <c r="E53" s="231"/>
      <c r="F53" s="160"/>
      <c r="G53" s="161"/>
      <c r="H53" s="162"/>
      <c r="I53" s="163"/>
      <c r="J53" s="164"/>
      <c r="K53" s="163"/>
    </row>
    <row r="54" spans="1:11" s="3" customFormat="1" ht="21" customHeight="1">
      <c r="A54" s="156" t="s">
        <v>63</v>
      </c>
      <c r="B54" s="171"/>
      <c r="C54" s="168"/>
      <c r="D54" s="169"/>
      <c r="E54" s="231"/>
      <c r="F54" s="160"/>
      <c r="G54" s="161"/>
      <c r="H54" s="162"/>
      <c r="I54" s="163"/>
      <c r="J54" s="164"/>
      <c r="K54" s="163"/>
    </row>
    <row r="55" spans="1:11" s="3" customFormat="1" ht="21" customHeight="1">
      <c r="A55" s="156" t="s">
        <v>64</v>
      </c>
      <c r="B55" s="167"/>
      <c r="C55" s="172"/>
      <c r="D55" s="159"/>
      <c r="E55" s="230"/>
      <c r="F55" s="160"/>
      <c r="G55" s="161"/>
      <c r="H55" s="162"/>
      <c r="I55" s="163"/>
      <c r="J55" s="164"/>
      <c r="K55" s="163"/>
    </row>
    <row r="56" spans="1:11" s="3" customFormat="1" ht="21" customHeight="1">
      <c r="A56" s="156" t="s">
        <v>65</v>
      </c>
      <c r="B56" s="167"/>
      <c r="C56" s="158"/>
      <c r="D56" s="159"/>
      <c r="E56" s="230"/>
      <c r="F56" s="160"/>
      <c r="G56" s="161"/>
      <c r="H56" s="162"/>
      <c r="I56" s="163"/>
      <c r="J56" s="164"/>
      <c r="K56" s="163"/>
    </row>
    <row r="57" spans="1:11" s="3" customFormat="1" ht="21" customHeight="1">
      <c r="A57" s="156" t="s">
        <v>66</v>
      </c>
      <c r="B57" s="167"/>
      <c r="C57" s="158"/>
      <c r="D57" s="159"/>
      <c r="E57" s="230"/>
      <c r="F57" s="160"/>
      <c r="G57" s="161"/>
      <c r="H57" s="162"/>
      <c r="I57" s="163"/>
      <c r="J57" s="164"/>
      <c r="K57" s="163"/>
    </row>
    <row r="58" spans="1:11" s="3" customFormat="1" ht="21" customHeight="1" thickBot="1">
      <c r="A58" s="173" t="s">
        <v>67</v>
      </c>
      <c r="B58" s="174"/>
      <c r="C58" s="175"/>
      <c r="D58" s="176"/>
      <c r="E58" s="232"/>
      <c r="F58" s="177"/>
      <c r="G58" s="178"/>
      <c r="H58" s="177"/>
      <c r="I58" s="179"/>
      <c r="J58" s="180"/>
      <c r="K58" s="179"/>
    </row>
    <row r="59" spans="1:11" s="3" customFormat="1" ht="21" customHeight="1" thickTop="1">
      <c r="A59" s="183" t="s">
        <v>68</v>
      </c>
      <c r="B59" s="184"/>
      <c r="C59" s="185"/>
      <c r="D59" s="186"/>
      <c r="E59" s="233"/>
      <c r="F59" s="187"/>
      <c r="G59" s="188"/>
      <c r="H59" s="189"/>
      <c r="I59" s="190"/>
      <c r="J59" s="191"/>
      <c r="K59" s="190"/>
    </row>
    <row r="60" spans="1:11" s="3" customFormat="1" ht="21" customHeight="1">
      <c r="A60" s="156" t="s">
        <v>69</v>
      </c>
      <c r="B60" s="167"/>
      <c r="C60" s="168"/>
      <c r="D60" s="169"/>
      <c r="E60" s="231"/>
      <c r="F60" s="160"/>
      <c r="G60" s="161"/>
      <c r="H60" s="162"/>
      <c r="I60" s="163"/>
      <c r="J60" s="164"/>
      <c r="K60" s="163"/>
    </row>
    <row r="61" spans="1:11" s="3" customFormat="1" ht="21" customHeight="1">
      <c r="A61" s="156" t="s">
        <v>70</v>
      </c>
      <c r="B61" s="167"/>
      <c r="C61" s="168"/>
      <c r="D61" s="169"/>
      <c r="E61" s="231"/>
      <c r="F61" s="160"/>
      <c r="G61" s="161"/>
      <c r="H61" s="162"/>
      <c r="I61" s="163"/>
      <c r="J61" s="164"/>
      <c r="K61" s="163"/>
    </row>
    <row r="62" spans="1:11" s="3" customFormat="1" ht="21" customHeight="1">
      <c r="A62" s="156" t="s">
        <v>71</v>
      </c>
      <c r="B62" s="171"/>
      <c r="C62" s="194"/>
      <c r="D62" s="195"/>
      <c r="E62" s="234"/>
      <c r="F62" s="160"/>
      <c r="G62" s="161"/>
      <c r="H62" s="162"/>
      <c r="I62" s="163"/>
      <c r="J62" s="164"/>
      <c r="K62" s="163"/>
    </row>
    <row r="63" spans="1:11" s="3" customFormat="1" ht="21" customHeight="1">
      <c r="A63" s="156" t="s">
        <v>72</v>
      </c>
      <c r="B63" s="167"/>
      <c r="C63" s="172"/>
      <c r="D63" s="159"/>
      <c r="E63" s="230"/>
      <c r="F63" s="160"/>
      <c r="G63" s="161"/>
      <c r="H63" s="162"/>
      <c r="I63" s="163"/>
      <c r="J63" s="164"/>
      <c r="K63" s="163"/>
    </row>
    <row r="64" spans="1:11" s="3" customFormat="1" ht="21" customHeight="1">
      <c r="A64" s="156" t="s">
        <v>73</v>
      </c>
      <c r="B64" s="167"/>
      <c r="C64" s="158"/>
      <c r="D64" s="197"/>
      <c r="E64" s="254"/>
      <c r="F64" s="160"/>
      <c r="G64" s="161"/>
      <c r="H64" s="162"/>
      <c r="I64" s="163"/>
      <c r="J64" s="164"/>
      <c r="K64" s="163"/>
    </row>
    <row r="65" spans="1:11" s="3" customFormat="1" ht="21" customHeight="1">
      <c r="A65" s="156" t="s">
        <v>74</v>
      </c>
      <c r="B65" s="167"/>
      <c r="C65" s="158"/>
      <c r="D65" s="197"/>
      <c r="E65" s="254"/>
      <c r="F65" s="160"/>
      <c r="G65" s="161"/>
      <c r="H65" s="162"/>
      <c r="I65" s="163"/>
      <c r="J65" s="164"/>
      <c r="K65" s="163"/>
    </row>
    <row r="66" spans="1:11" s="3" customFormat="1" ht="21" customHeight="1" thickBot="1">
      <c r="A66" s="173" t="s">
        <v>75</v>
      </c>
      <c r="B66" s="174"/>
      <c r="C66" s="175"/>
      <c r="D66" s="176"/>
      <c r="E66" s="232"/>
      <c r="F66" s="177"/>
      <c r="G66" s="178"/>
      <c r="H66" s="177"/>
      <c r="I66" s="179"/>
      <c r="J66" s="180"/>
      <c r="K66" s="179"/>
    </row>
    <row r="67" spans="1:11" s="3" customFormat="1" ht="21" customHeight="1" thickTop="1">
      <c r="A67" s="156" t="s">
        <v>76</v>
      </c>
      <c r="B67" s="157"/>
      <c r="C67" s="158"/>
      <c r="D67" s="159"/>
      <c r="E67" s="230"/>
      <c r="F67" s="160"/>
      <c r="G67" s="161"/>
      <c r="H67" s="162"/>
      <c r="I67" s="163"/>
      <c r="J67" s="164"/>
      <c r="K67" s="163"/>
    </row>
    <row r="68" spans="1:11" s="3" customFormat="1" ht="21" customHeight="1">
      <c r="A68" s="156" t="s">
        <v>77</v>
      </c>
      <c r="B68" s="167"/>
      <c r="C68" s="168"/>
      <c r="D68" s="169"/>
      <c r="E68" s="231"/>
      <c r="F68" s="160"/>
      <c r="G68" s="161"/>
      <c r="H68" s="162"/>
      <c r="I68" s="163"/>
      <c r="J68" s="164"/>
      <c r="K68" s="163"/>
    </row>
    <row r="69" spans="1:11" s="3" customFormat="1" ht="21" customHeight="1">
      <c r="A69" s="156" t="s">
        <v>78</v>
      </c>
      <c r="B69" s="167"/>
      <c r="C69" s="168"/>
      <c r="D69" s="169"/>
      <c r="E69" s="231"/>
      <c r="F69" s="160"/>
      <c r="G69" s="161"/>
      <c r="H69" s="162"/>
      <c r="I69" s="163"/>
      <c r="J69" s="164"/>
      <c r="K69" s="163"/>
    </row>
    <row r="70" spans="1:11" s="3" customFormat="1" ht="21" customHeight="1">
      <c r="A70" s="156" t="s">
        <v>79</v>
      </c>
      <c r="B70" s="167"/>
      <c r="C70" s="168"/>
      <c r="D70" s="169"/>
      <c r="E70" s="231"/>
      <c r="F70" s="160"/>
      <c r="G70" s="161"/>
      <c r="H70" s="162"/>
      <c r="I70" s="163"/>
      <c r="J70" s="164"/>
      <c r="K70" s="199"/>
    </row>
    <row r="71" spans="1:11" s="3" customFormat="1" ht="21" customHeight="1">
      <c r="A71" s="156" t="s">
        <v>80</v>
      </c>
      <c r="B71" s="167"/>
      <c r="C71" s="168"/>
      <c r="D71" s="169"/>
      <c r="E71" s="231"/>
      <c r="F71" s="160"/>
      <c r="G71" s="161"/>
      <c r="H71" s="200"/>
      <c r="I71" s="163"/>
      <c r="J71" s="164"/>
      <c r="K71" s="199"/>
    </row>
    <row r="72" spans="1:11" s="3" customFormat="1" ht="21" customHeight="1">
      <c r="A72" s="156" t="s">
        <v>81</v>
      </c>
      <c r="B72" s="171"/>
      <c r="C72" s="194"/>
      <c r="D72" s="197"/>
      <c r="E72" s="254"/>
      <c r="F72" s="160"/>
      <c r="G72" s="161"/>
      <c r="H72" s="162"/>
      <c r="I72" s="163"/>
      <c r="J72" s="164"/>
      <c r="K72" s="163"/>
    </row>
    <row r="73" spans="1:11" s="3" customFormat="1" ht="21" customHeight="1">
      <c r="A73" s="156" t="s">
        <v>82</v>
      </c>
      <c r="B73" s="171"/>
      <c r="C73" s="168"/>
      <c r="D73" s="195"/>
      <c r="E73" s="234"/>
      <c r="F73" s="160"/>
      <c r="G73" s="161"/>
      <c r="H73" s="162"/>
      <c r="I73" s="163"/>
      <c r="J73" s="164"/>
      <c r="K73" s="163"/>
    </row>
    <row r="74" spans="1:11" s="3" customFormat="1" ht="21" customHeight="1" thickBot="1">
      <c r="A74" s="173" t="s">
        <v>83</v>
      </c>
      <c r="B74" s="174"/>
      <c r="C74" s="175"/>
      <c r="D74" s="176"/>
      <c r="E74" s="232"/>
      <c r="F74" s="177"/>
      <c r="G74" s="178"/>
      <c r="H74" s="177"/>
      <c r="I74" s="179"/>
      <c r="J74" s="180"/>
      <c r="K74" s="179"/>
    </row>
    <row r="75" spans="1:11" s="3" customFormat="1" ht="21" customHeight="1" thickTop="1">
      <c r="A75" s="156" t="s">
        <v>84</v>
      </c>
      <c r="B75" s="157"/>
      <c r="C75" s="158"/>
      <c r="D75" s="159"/>
      <c r="E75" s="230"/>
      <c r="F75" s="160"/>
      <c r="G75" s="161"/>
      <c r="H75" s="162"/>
      <c r="I75" s="163"/>
      <c r="J75" s="164"/>
      <c r="K75" s="163"/>
    </row>
    <row r="76" spans="1:11" s="3" customFormat="1" ht="21" customHeight="1">
      <c r="A76" s="156" t="s">
        <v>85</v>
      </c>
      <c r="B76" s="167"/>
      <c r="C76" s="168"/>
      <c r="D76" s="169"/>
      <c r="E76" s="231"/>
      <c r="F76" s="160"/>
      <c r="G76" s="161"/>
      <c r="H76" s="162"/>
      <c r="I76" s="163"/>
      <c r="J76" s="164"/>
      <c r="K76" s="163"/>
    </row>
    <row r="77" spans="1:11" s="3" customFormat="1" ht="21" customHeight="1">
      <c r="A77" s="156" t="s">
        <v>86</v>
      </c>
      <c r="B77" s="167"/>
      <c r="C77" s="168"/>
      <c r="D77" s="169"/>
      <c r="E77" s="231"/>
      <c r="F77" s="160"/>
      <c r="G77" s="161"/>
      <c r="H77" s="162"/>
      <c r="I77" s="163"/>
      <c r="J77" s="164"/>
      <c r="K77" s="163"/>
    </row>
    <row r="78" spans="1:11" s="3" customFormat="1" ht="21" customHeight="1">
      <c r="A78" s="156" t="s">
        <v>87</v>
      </c>
      <c r="B78" s="171"/>
      <c r="C78" s="168"/>
      <c r="D78" s="169"/>
      <c r="E78" s="231"/>
      <c r="F78" s="160"/>
      <c r="G78" s="161"/>
      <c r="H78" s="162"/>
      <c r="I78" s="163"/>
      <c r="J78" s="164"/>
      <c r="K78" s="163"/>
    </row>
    <row r="79" spans="1:11" s="3" customFormat="1" ht="21" customHeight="1">
      <c r="A79" s="156" t="s">
        <v>88</v>
      </c>
      <c r="B79" s="167"/>
      <c r="C79" s="172"/>
      <c r="D79" s="159"/>
      <c r="E79" s="230"/>
      <c r="F79" s="160"/>
      <c r="G79" s="161"/>
      <c r="H79" s="162"/>
      <c r="I79" s="163"/>
      <c r="J79" s="164"/>
      <c r="K79" s="163"/>
    </row>
    <row r="80" spans="1:11" s="3" customFormat="1" ht="21" customHeight="1">
      <c r="A80" s="156" t="s">
        <v>89</v>
      </c>
      <c r="B80" s="167"/>
      <c r="C80" s="158"/>
      <c r="D80" s="159"/>
      <c r="E80" s="230"/>
      <c r="F80" s="160"/>
      <c r="G80" s="161"/>
      <c r="H80" s="162"/>
      <c r="I80" s="163"/>
      <c r="J80" s="164"/>
      <c r="K80" s="163"/>
    </row>
    <row r="81" spans="1:11" s="3" customFormat="1" ht="21" customHeight="1">
      <c r="A81" s="156" t="s">
        <v>90</v>
      </c>
      <c r="B81" s="167"/>
      <c r="C81" s="158"/>
      <c r="D81" s="159"/>
      <c r="E81" s="230"/>
      <c r="F81" s="160"/>
      <c r="G81" s="161"/>
      <c r="H81" s="162"/>
      <c r="I81" s="163"/>
      <c r="J81" s="164"/>
      <c r="K81" s="163"/>
    </row>
    <row r="82" spans="1:11" s="3" customFormat="1" ht="21" customHeight="1" thickBot="1">
      <c r="A82" s="173" t="s">
        <v>91</v>
      </c>
      <c r="B82" s="174"/>
      <c r="C82" s="175"/>
      <c r="D82" s="176"/>
      <c r="E82" s="232"/>
      <c r="F82" s="177"/>
      <c r="G82" s="178"/>
      <c r="H82" s="177"/>
      <c r="I82" s="179"/>
      <c r="J82" s="180"/>
      <c r="K82" s="179"/>
    </row>
    <row r="83" spans="1:11" s="3" customFormat="1" ht="21" customHeight="1" thickTop="1">
      <c r="A83" s="183" t="s">
        <v>92</v>
      </c>
      <c r="B83" s="184"/>
      <c r="C83" s="185"/>
      <c r="D83" s="186"/>
      <c r="E83" s="233"/>
      <c r="F83" s="187"/>
      <c r="G83" s="188"/>
      <c r="H83" s="189"/>
      <c r="I83" s="190"/>
      <c r="J83" s="191"/>
      <c r="K83" s="190"/>
    </row>
    <row r="84" spans="1:11" s="3" customFormat="1" ht="21" customHeight="1">
      <c r="A84" s="156" t="s">
        <v>93</v>
      </c>
      <c r="B84" s="167"/>
      <c r="C84" s="168"/>
      <c r="D84" s="169"/>
      <c r="E84" s="231"/>
      <c r="F84" s="160"/>
      <c r="G84" s="161"/>
      <c r="H84" s="162"/>
      <c r="I84" s="163"/>
      <c r="J84" s="164"/>
      <c r="K84" s="163"/>
    </row>
    <row r="85" spans="1:11" s="3" customFormat="1" ht="21" customHeight="1">
      <c r="A85" s="156" t="s">
        <v>94</v>
      </c>
      <c r="B85" s="167"/>
      <c r="C85" s="168"/>
      <c r="D85" s="169"/>
      <c r="E85" s="231"/>
      <c r="F85" s="160"/>
      <c r="G85" s="161"/>
      <c r="H85" s="162"/>
      <c r="I85" s="163"/>
      <c r="J85" s="164"/>
      <c r="K85" s="163"/>
    </row>
    <row r="86" spans="1:11" s="3" customFormat="1" ht="21" customHeight="1">
      <c r="A86" s="156" t="s">
        <v>95</v>
      </c>
      <c r="B86" s="171"/>
      <c r="C86" s="194"/>
      <c r="D86" s="195"/>
      <c r="E86" s="234"/>
      <c r="F86" s="160"/>
      <c r="G86" s="161"/>
      <c r="H86" s="162"/>
      <c r="I86" s="163"/>
      <c r="J86" s="164"/>
      <c r="K86" s="163"/>
    </row>
    <row r="87" spans="1:11" s="3" customFormat="1" ht="21" customHeight="1">
      <c r="A87" s="156" t="s">
        <v>96</v>
      </c>
      <c r="B87" s="167"/>
      <c r="C87" s="172"/>
      <c r="D87" s="159"/>
      <c r="E87" s="230"/>
      <c r="F87" s="160"/>
      <c r="G87" s="161"/>
      <c r="H87" s="162"/>
      <c r="I87" s="163"/>
      <c r="J87" s="164"/>
      <c r="K87" s="163"/>
    </row>
    <row r="88" spans="1:11" s="3" customFormat="1" ht="21" customHeight="1">
      <c r="A88" s="156" t="s">
        <v>97</v>
      </c>
      <c r="B88" s="167"/>
      <c r="C88" s="158"/>
      <c r="D88" s="197"/>
      <c r="E88" s="254"/>
      <c r="F88" s="160"/>
      <c r="G88" s="161"/>
      <c r="H88" s="162"/>
      <c r="I88" s="163"/>
      <c r="J88" s="164"/>
      <c r="K88" s="163"/>
    </row>
    <row r="89" spans="1:11" s="3" customFormat="1" ht="21" customHeight="1">
      <c r="A89" s="156" t="s">
        <v>98</v>
      </c>
      <c r="B89" s="167"/>
      <c r="C89" s="158"/>
      <c r="D89" s="197"/>
      <c r="E89" s="254"/>
      <c r="F89" s="160"/>
      <c r="G89" s="161"/>
      <c r="H89" s="162"/>
      <c r="I89" s="163"/>
      <c r="J89" s="164"/>
      <c r="K89" s="163"/>
    </row>
    <row r="90" spans="1:11" s="3" customFormat="1" ht="21" customHeight="1" thickBot="1">
      <c r="A90" s="173" t="s">
        <v>99</v>
      </c>
      <c r="B90" s="174"/>
      <c r="C90" s="175"/>
      <c r="D90" s="176"/>
      <c r="E90" s="232"/>
      <c r="F90" s="177"/>
      <c r="G90" s="178"/>
      <c r="H90" s="177"/>
      <c r="I90" s="179"/>
      <c r="J90" s="180"/>
      <c r="K90" s="179"/>
    </row>
    <row r="91" spans="1:11" s="3" customFormat="1" ht="21" customHeight="1" thickTop="1">
      <c r="A91" s="156" t="s">
        <v>100</v>
      </c>
      <c r="B91" s="157"/>
      <c r="C91" s="158"/>
      <c r="D91" s="159"/>
      <c r="E91" s="230"/>
      <c r="F91" s="160"/>
      <c r="G91" s="161"/>
      <c r="H91" s="162"/>
      <c r="I91" s="163"/>
      <c r="J91" s="164"/>
      <c r="K91" s="163"/>
    </row>
    <row r="92" spans="1:11" s="3" customFormat="1" ht="21" customHeight="1">
      <c r="A92" s="156" t="s">
        <v>101</v>
      </c>
      <c r="B92" s="167"/>
      <c r="C92" s="168"/>
      <c r="D92" s="169"/>
      <c r="E92" s="231"/>
      <c r="F92" s="160"/>
      <c r="G92" s="161"/>
      <c r="H92" s="162"/>
      <c r="I92" s="163"/>
      <c r="J92" s="164"/>
      <c r="K92" s="163"/>
    </row>
    <row r="93" spans="1:11" s="3" customFormat="1" ht="21" customHeight="1">
      <c r="A93" s="156" t="s">
        <v>102</v>
      </c>
      <c r="B93" s="167"/>
      <c r="C93" s="168"/>
      <c r="D93" s="169"/>
      <c r="E93" s="231"/>
      <c r="F93" s="160"/>
      <c r="G93" s="161"/>
      <c r="H93" s="162"/>
      <c r="I93" s="163"/>
      <c r="J93" s="164"/>
      <c r="K93" s="163"/>
    </row>
    <row r="94" spans="1:11" s="3" customFormat="1" ht="21" customHeight="1">
      <c r="A94" s="156" t="s">
        <v>103</v>
      </c>
      <c r="B94" s="167"/>
      <c r="C94" s="168"/>
      <c r="D94" s="169"/>
      <c r="E94" s="231"/>
      <c r="F94" s="160"/>
      <c r="G94" s="161"/>
      <c r="H94" s="162"/>
      <c r="I94" s="163"/>
      <c r="J94" s="164"/>
      <c r="K94" s="199"/>
    </row>
    <row r="95" spans="1:11" s="3" customFormat="1" ht="21" customHeight="1">
      <c r="A95" s="156" t="s">
        <v>104</v>
      </c>
      <c r="B95" s="167"/>
      <c r="C95" s="168"/>
      <c r="D95" s="169"/>
      <c r="E95" s="231"/>
      <c r="F95" s="160"/>
      <c r="G95" s="161"/>
      <c r="H95" s="200"/>
      <c r="I95" s="163"/>
      <c r="J95" s="164"/>
      <c r="K95" s="199"/>
    </row>
    <row r="96" spans="1:11" s="3" customFormat="1" ht="21" customHeight="1">
      <c r="A96" s="156" t="s">
        <v>105</v>
      </c>
      <c r="B96" s="171"/>
      <c r="C96" s="194"/>
      <c r="D96" s="197"/>
      <c r="E96" s="254"/>
      <c r="F96" s="160"/>
      <c r="G96" s="161"/>
      <c r="H96" s="162"/>
      <c r="I96" s="163"/>
      <c r="J96" s="164"/>
      <c r="K96" s="163"/>
    </row>
    <row r="97" spans="1:11" s="3" customFormat="1" ht="21" customHeight="1">
      <c r="A97" s="156" t="s">
        <v>106</v>
      </c>
      <c r="B97" s="171"/>
      <c r="C97" s="194"/>
      <c r="D97" s="195"/>
      <c r="E97" s="234"/>
      <c r="F97" s="160"/>
      <c r="G97" s="161"/>
      <c r="H97" s="162"/>
      <c r="I97" s="163"/>
      <c r="J97" s="164"/>
      <c r="K97" s="163"/>
    </row>
    <row r="98" spans="1:11" s="3" customFormat="1" ht="21" customHeight="1" thickBot="1">
      <c r="A98" s="173" t="s">
        <v>107</v>
      </c>
      <c r="B98" s="174"/>
      <c r="C98" s="175"/>
      <c r="D98" s="176"/>
      <c r="E98" s="232"/>
      <c r="F98" s="177"/>
      <c r="G98" s="178"/>
      <c r="H98" s="177"/>
      <c r="I98" s="179"/>
      <c r="J98" s="180"/>
      <c r="K98" s="179"/>
    </row>
    <row r="99" spans="1:11" s="3" customFormat="1" ht="21" customHeight="1" thickTop="1">
      <c r="A99" s="156" t="s">
        <v>108</v>
      </c>
      <c r="B99" s="157"/>
      <c r="C99" s="158"/>
      <c r="D99" s="159"/>
      <c r="E99" s="230"/>
      <c r="F99" s="201"/>
      <c r="G99" s="202"/>
      <c r="H99" s="203"/>
      <c r="I99" s="163"/>
      <c r="J99" s="164"/>
      <c r="K99" s="163"/>
    </row>
    <row r="100" spans="1:11" s="3" customFormat="1" ht="21" customHeight="1">
      <c r="A100" s="156" t="s">
        <v>109</v>
      </c>
      <c r="B100" s="167"/>
      <c r="C100" s="168"/>
      <c r="D100" s="169"/>
      <c r="E100" s="231"/>
      <c r="F100" s="201"/>
      <c r="G100" s="202"/>
      <c r="H100" s="203"/>
      <c r="I100" s="163"/>
      <c r="J100" s="164"/>
      <c r="K100" s="163"/>
    </row>
    <row r="101" spans="1:11" s="3" customFormat="1" ht="21" customHeight="1">
      <c r="A101" s="156" t="s">
        <v>110</v>
      </c>
      <c r="B101" s="167"/>
      <c r="C101" s="168"/>
      <c r="D101" s="169"/>
      <c r="E101" s="231"/>
      <c r="F101" s="201"/>
      <c r="G101" s="202"/>
      <c r="H101" s="203"/>
      <c r="I101" s="163"/>
      <c r="J101" s="164"/>
      <c r="K101" s="163"/>
    </row>
    <row r="102" spans="1:11" s="3" customFormat="1" ht="21" customHeight="1">
      <c r="A102" s="156" t="s">
        <v>111</v>
      </c>
      <c r="B102" s="167"/>
      <c r="C102" s="168"/>
      <c r="D102" s="169"/>
      <c r="E102" s="231"/>
      <c r="F102" s="201"/>
      <c r="G102" s="202"/>
      <c r="H102" s="203"/>
      <c r="I102" s="163"/>
      <c r="J102" s="164"/>
      <c r="K102" s="163"/>
    </row>
    <row r="103" spans="1:11" s="3" customFormat="1" ht="21" customHeight="1">
      <c r="A103" s="156" t="s">
        <v>112</v>
      </c>
      <c r="B103" s="167"/>
      <c r="C103" s="168"/>
      <c r="D103" s="169"/>
      <c r="E103" s="231"/>
      <c r="F103" s="201"/>
      <c r="G103" s="202"/>
      <c r="H103" s="203"/>
      <c r="I103" s="163"/>
      <c r="J103" s="164"/>
      <c r="K103" s="163"/>
    </row>
    <row r="104" spans="1:11" s="3" customFormat="1" ht="21" customHeight="1">
      <c r="A104" s="156" t="s">
        <v>113</v>
      </c>
      <c r="B104" s="171"/>
      <c r="C104" s="194"/>
      <c r="D104" s="197"/>
      <c r="E104" s="254"/>
      <c r="F104" s="201"/>
      <c r="G104" s="202"/>
      <c r="H104" s="203"/>
      <c r="I104" s="163"/>
      <c r="J104" s="164"/>
      <c r="K104" s="163"/>
    </row>
    <row r="105" spans="1:11" s="3" customFormat="1" ht="21" customHeight="1">
      <c r="A105" s="156" t="s">
        <v>114</v>
      </c>
      <c r="B105" s="171"/>
      <c r="C105" s="194"/>
      <c r="D105" s="195"/>
      <c r="E105" s="234"/>
      <c r="F105" s="201"/>
      <c r="G105" s="202"/>
      <c r="H105" s="203"/>
      <c r="I105" s="163"/>
      <c r="J105" s="164"/>
      <c r="K105" s="163"/>
    </row>
    <row r="106" spans="1:11" s="3" customFormat="1" ht="21" customHeight="1">
      <c r="A106" s="156" t="s">
        <v>115</v>
      </c>
      <c r="B106" s="157"/>
      <c r="C106" s="172"/>
      <c r="D106" s="204"/>
      <c r="E106" s="255"/>
      <c r="F106" s="201"/>
      <c r="G106" s="202"/>
      <c r="H106" s="201"/>
      <c r="I106" s="163"/>
      <c r="J106" s="205"/>
      <c r="K106" s="163"/>
    </row>
    <row r="107" spans="1:11" s="3" customFormat="1" ht="21" customHeight="1">
      <c r="A107" s="156" t="s">
        <v>116</v>
      </c>
      <c r="B107" s="167"/>
      <c r="C107" s="172"/>
      <c r="D107" s="159"/>
      <c r="E107" s="230"/>
      <c r="F107" s="201"/>
      <c r="G107" s="202"/>
      <c r="H107" s="203"/>
      <c r="I107" s="163"/>
      <c r="J107" s="164"/>
      <c r="K107" s="163"/>
    </row>
    <row r="108" spans="1:11" s="3" customFormat="1" ht="21" customHeight="1">
      <c r="A108" s="156" t="s">
        <v>117</v>
      </c>
      <c r="B108" s="167"/>
      <c r="C108" s="158"/>
      <c r="D108" s="159"/>
      <c r="E108" s="230"/>
      <c r="F108" s="201"/>
      <c r="G108" s="202"/>
      <c r="H108" s="203"/>
      <c r="I108" s="163"/>
      <c r="J108" s="164"/>
      <c r="K108" s="163"/>
    </row>
    <row r="109" spans="1:11" s="3" customFormat="1" ht="21" customHeight="1">
      <c r="A109" s="156" t="s">
        <v>118</v>
      </c>
      <c r="B109" s="167"/>
      <c r="C109" s="158"/>
      <c r="D109" s="159"/>
      <c r="E109" s="230"/>
      <c r="F109" s="201"/>
      <c r="G109" s="202"/>
      <c r="H109" s="203"/>
      <c r="I109" s="163"/>
      <c r="J109" s="164"/>
      <c r="K109" s="163"/>
    </row>
    <row r="110" spans="1:11" s="3" customFormat="1" ht="21" customHeight="1">
      <c r="A110" s="156" t="s">
        <v>119</v>
      </c>
      <c r="B110" s="167"/>
      <c r="C110" s="158"/>
      <c r="D110" s="159"/>
      <c r="E110" s="230"/>
      <c r="F110" s="201"/>
      <c r="G110" s="202"/>
      <c r="H110" s="203"/>
      <c r="I110" s="163"/>
      <c r="J110" s="164"/>
      <c r="K110" s="163"/>
    </row>
    <row r="111" spans="1:11" s="3" customFormat="1" ht="21" customHeight="1">
      <c r="A111" s="156" t="s">
        <v>120</v>
      </c>
      <c r="B111" s="167"/>
      <c r="C111" s="158"/>
      <c r="D111" s="159"/>
      <c r="E111" s="230"/>
      <c r="F111" s="201"/>
      <c r="G111" s="202"/>
      <c r="H111" s="203"/>
      <c r="I111" s="163"/>
      <c r="J111" s="164"/>
      <c r="K111" s="163"/>
    </row>
    <row r="112" spans="1:11" s="3" customFormat="1" ht="21" customHeight="1">
      <c r="A112" s="156" t="s">
        <v>121</v>
      </c>
      <c r="B112" s="167"/>
      <c r="C112" s="158"/>
      <c r="D112" s="159"/>
      <c r="E112" s="230"/>
      <c r="F112" s="201"/>
      <c r="G112" s="202"/>
      <c r="H112" s="203"/>
      <c r="I112" s="163"/>
      <c r="J112" s="164"/>
      <c r="K112" s="163"/>
    </row>
    <row r="113" spans="1:11" s="3" customFormat="1" ht="21" customHeight="1">
      <c r="A113" s="156" t="s">
        <v>122</v>
      </c>
      <c r="B113" s="167"/>
      <c r="C113" s="172"/>
      <c r="D113" s="197"/>
      <c r="E113" s="254"/>
      <c r="F113" s="201"/>
      <c r="G113" s="202"/>
      <c r="H113" s="203"/>
      <c r="I113" s="163"/>
      <c r="J113" s="164"/>
      <c r="K113" s="163"/>
    </row>
    <row r="114" spans="1:11" s="3" customFormat="1" ht="21" customHeight="1">
      <c r="A114" s="156" t="s">
        <v>123</v>
      </c>
      <c r="B114" s="157"/>
      <c r="C114" s="158"/>
      <c r="D114" s="204"/>
      <c r="E114" s="255"/>
      <c r="F114" s="201"/>
      <c r="G114" s="202"/>
      <c r="H114" s="201"/>
      <c r="I114" s="163"/>
      <c r="J114" s="205"/>
      <c r="K114" s="163"/>
    </row>
    <row r="115" spans="1:11" s="3" customFormat="1" ht="21" customHeight="1">
      <c r="A115" s="156" t="s">
        <v>124</v>
      </c>
      <c r="B115" s="157"/>
      <c r="C115" s="158"/>
      <c r="D115" s="159"/>
      <c r="E115" s="230"/>
      <c r="F115" s="201"/>
      <c r="G115" s="202"/>
      <c r="H115" s="203"/>
      <c r="I115" s="163"/>
      <c r="J115" s="164"/>
      <c r="K115" s="163"/>
    </row>
    <row r="116" spans="1:11" s="3" customFormat="1" ht="21" customHeight="1">
      <c r="A116" s="156" t="s">
        <v>125</v>
      </c>
      <c r="B116" s="167"/>
      <c r="C116" s="168"/>
      <c r="D116" s="169"/>
      <c r="E116" s="231"/>
      <c r="F116" s="201"/>
      <c r="G116" s="202"/>
      <c r="H116" s="203"/>
      <c r="I116" s="163"/>
      <c r="J116" s="164"/>
      <c r="K116" s="163"/>
    </row>
    <row r="117" spans="1:11" s="3" customFormat="1" ht="21" customHeight="1">
      <c r="A117" s="156" t="s">
        <v>126</v>
      </c>
      <c r="B117" s="167"/>
      <c r="C117" s="168"/>
      <c r="D117" s="169"/>
      <c r="E117" s="231"/>
      <c r="F117" s="201"/>
      <c r="G117" s="202"/>
      <c r="H117" s="203"/>
      <c r="I117" s="163"/>
      <c r="J117" s="164"/>
      <c r="K117" s="163"/>
    </row>
    <row r="118" spans="1:11" s="3" customFormat="1" ht="21" customHeight="1">
      <c r="A118" s="156" t="s">
        <v>127</v>
      </c>
      <c r="B118" s="167"/>
      <c r="C118" s="168"/>
      <c r="D118" s="169"/>
      <c r="E118" s="231"/>
      <c r="F118" s="201"/>
      <c r="G118" s="202"/>
      <c r="H118" s="203"/>
      <c r="I118" s="163"/>
      <c r="J118" s="164"/>
      <c r="K118" s="199"/>
    </row>
    <row r="119" spans="1:11" s="3" customFormat="1" ht="21" customHeight="1">
      <c r="A119" s="156" t="s">
        <v>128</v>
      </c>
      <c r="B119" s="167"/>
      <c r="C119" s="168"/>
      <c r="D119" s="169"/>
      <c r="E119" s="231"/>
      <c r="F119" s="201"/>
      <c r="G119" s="202"/>
      <c r="H119" s="207"/>
      <c r="I119" s="163"/>
      <c r="J119" s="164"/>
      <c r="K119" s="199"/>
    </row>
    <row r="120" spans="1:11" s="3" customFormat="1" ht="21" customHeight="1">
      <c r="A120" s="156" t="s">
        <v>129</v>
      </c>
      <c r="B120" s="171"/>
      <c r="C120" s="194"/>
      <c r="D120" s="197"/>
      <c r="E120" s="254"/>
      <c r="F120" s="201"/>
      <c r="G120" s="202"/>
      <c r="H120" s="203"/>
      <c r="I120" s="163"/>
      <c r="J120" s="164"/>
      <c r="K120" s="163"/>
    </row>
    <row r="121" spans="1:11" s="3" customFormat="1" ht="21" customHeight="1">
      <c r="A121" s="156" t="s">
        <v>130</v>
      </c>
      <c r="B121" s="171"/>
      <c r="C121" s="194"/>
      <c r="D121" s="195"/>
      <c r="E121" s="234"/>
      <c r="F121" s="201"/>
      <c r="G121" s="202"/>
      <c r="H121" s="203"/>
      <c r="I121" s="163"/>
      <c r="J121" s="164"/>
      <c r="K121" s="163"/>
    </row>
    <row r="122" spans="1:11" s="3" customFormat="1" ht="21" customHeight="1">
      <c r="A122" s="156" t="s">
        <v>131</v>
      </c>
      <c r="B122" s="157"/>
      <c r="C122" s="172"/>
      <c r="D122" s="204"/>
      <c r="E122" s="255"/>
      <c r="F122" s="201"/>
      <c r="G122" s="202"/>
      <c r="H122" s="201"/>
      <c r="I122" s="163"/>
      <c r="J122" s="205"/>
      <c r="K122" s="163"/>
    </row>
    <row r="123" spans="1:11" s="3" customFormat="1" ht="21" customHeight="1">
      <c r="A123" s="156" t="s">
        <v>132</v>
      </c>
      <c r="B123" s="167"/>
      <c r="C123" s="172"/>
      <c r="D123" s="159"/>
      <c r="E123" s="230"/>
      <c r="F123" s="201"/>
      <c r="G123" s="202"/>
      <c r="H123" s="207"/>
      <c r="I123" s="163"/>
      <c r="J123" s="164"/>
      <c r="K123" s="163"/>
    </row>
    <row r="124" spans="1:11" s="3" customFormat="1" ht="21" customHeight="1">
      <c r="A124" s="156" t="s">
        <v>133</v>
      </c>
      <c r="B124" s="167"/>
      <c r="C124" s="158"/>
      <c r="D124" s="197"/>
      <c r="E124" s="254"/>
      <c r="F124" s="201"/>
      <c r="G124" s="202"/>
      <c r="H124" s="207"/>
      <c r="I124" s="163"/>
      <c r="J124" s="164"/>
      <c r="K124" s="163"/>
    </row>
    <row r="125" spans="1:11" s="3" customFormat="1" ht="21" customHeight="1">
      <c r="A125" s="156" t="s">
        <v>134</v>
      </c>
      <c r="B125" s="167"/>
      <c r="C125" s="158"/>
      <c r="D125" s="197"/>
      <c r="E125" s="254"/>
      <c r="F125" s="201"/>
      <c r="G125" s="202"/>
      <c r="H125" s="207"/>
      <c r="I125" s="163"/>
      <c r="J125" s="164"/>
      <c r="K125" s="163"/>
    </row>
    <row r="126" spans="1:11" s="3" customFormat="1" ht="21" customHeight="1">
      <c r="A126" s="156" t="s">
        <v>135</v>
      </c>
      <c r="B126" s="167"/>
      <c r="C126" s="158"/>
      <c r="D126" s="197"/>
      <c r="E126" s="254"/>
      <c r="F126" s="201"/>
      <c r="G126" s="202"/>
      <c r="H126" s="207"/>
      <c r="I126" s="163"/>
      <c r="J126" s="164"/>
      <c r="K126" s="163"/>
    </row>
    <row r="127" spans="1:11" s="3" customFormat="1" ht="21" customHeight="1">
      <c r="A127" s="156" t="s">
        <v>136</v>
      </c>
      <c r="B127" s="167"/>
      <c r="C127" s="158"/>
      <c r="D127" s="197"/>
      <c r="E127" s="254"/>
      <c r="F127" s="201"/>
      <c r="G127" s="202"/>
      <c r="H127" s="207"/>
      <c r="I127" s="163"/>
      <c r="J127" s="164"/>
      <c r="K127" s="163"/>
    </row>
    <row r="128" spans="1:11" s="3" customFormat="1" ht="21" customHeight="1">
      <c r="A128" s="156" t="s">
        <v>137</v>
      </c>
      <c r="B128" s="171"/>
      <c r="C128" s="158"/>
      <c r="D128" s="197"/>
      <c r="E128" s="254"/>
      <c r="F128" s="201"/>
      <c r="G128" s="202"/>
      <c r="H128" s="207"/>
      <c r="I128" s="163"/>
      <c r="J128" s="164"/>
      <c r="K128" s="163"/>
    </row>
    <row r="129" spans="1:11" s="3" customFormat="1" ht="21" customHeight="1">
      <c r="A129" s="156" t="s">
        <v>138</v>
      </c>
      <c r="B129" s="167"/>
      <c r="C129" s="208"/>
      <c r="D129" s="197"/>
      <c r="E129" s="254"/>
      <c r="F129" s="201"/>
      <c r="G129" s="202"/>
      <c r="H129" s="207"/>
      <c r="I129" s="163"/>
      <c r="J129" s="164"/>
      <c r="K129" s="163"/>
    </row>
    <row r="130" spans="1:11" s="3" customFormat="1" ht="21" customHeight="1">
      <c r="A130" s="156" t="s">
        <v>139</v>
      </c>
      <c r="B130" s="157"/>
      <c r="C130" s="158"/>
      <c r="D130" s="204"/>
      <c r="E130" s="255"/>
      <c r="F130" s="201"/>
      <c r="G130" s="202"/>
      <c r="H130" s="201"/>
      <c r="I130" s="163"/>
      <c r="J130" s="205"/>
      <c r="K130" s="163"/>
    </row>
    <row r="131" spans="1:11" s="3" customFormat="1" ht="21" customHeight="1">
      <c r="A131" s="156" t="s">
        <v>140</v>
      </c>
      <c r="B131" s="157"/>
      <c r="C131" s="158"/>
      <c r="D131" s="159"/>
      <c r="E131" s="230"/>
      <c r="F131" s="201"/>
      <c r="G131" s="202"/>
      <c r="H131" s="203"/>
      <c r="I131" s="163"/>
      <c r="J131" s="164"/>
      <c r="K131" s="163"/>
    </row>
    <row r="132" spans="1:11" s="3" customFormat="1" ht="21" customHeight="1">
      <c r="A132" s="156" t="s">
        <v>141</v>
      </c>
      <c r="B132" s="167"/>
      <c r="C132" s="168"/>
      <c r="D132" s="169"/>
      <c r="E132" s="231"/>
      <c r="F132" s="201"/>
      <c r="G132" s="202"/>
      <c r="H132" s="203"/>
      <c r="I132" s="163"/>
      <c r="J132" s="164"/>
      <c r="K132" s="163"/>
    </row>
    <row r="133" spans="1:11" s="3" customFormat="1" ht="21" customHeight="1">
      <c r="A133" s="156" t="s">
        <v>142</v>
      </c>
      <c r="B133" s="171"/>
      <c r="C133" s="194"/>
      <c r="D133" s="195"/>
      <c r="E133" s="234"/>
      <c r="F133" s="201"/>
      <c r="G133" s="202"/>
      <c r="H133" s="203"/>
      <c r="I133" s="163"/>
      <c r="J133" s="164"/>
      <c r="K133" s="163"/>
    </row>
    <row r="134" spans="1:11" s="3" customFormat="1" ht="21" customHeight="1">
      <c r="A134" s="156" t="s">
        <v>143</v>
      </c>
      <c r="B134" s="167"/>
      <c r="C134" s="172"/>
      <c r="D134" s="159"/>
      <c r="E134" s="230"/>
      <c r="F134" s="201"/>
      <c r="G134" s="202"/>
      <c r="H134" s="203"/>
      <c r="I134" s="163"/>
      <c r="J134" s="164"/>
      <c r="K134" s="163"/>
    </row>
    <row r="135" spans="1:11" s="3" customFormat="1" ht="21" customHeight="1">
      <c r="A135" s="156" t="s">
        <v>144</v>
      </c>
      <c r="B135" s="167"/>
      <c r="C135" s="208"/>
      <c r="D135" s="197"/>
      <c r="E135" s="254"/>
      <c r="F135" s="201"/>
      <c r="G135" s="202"/>
      <c r="H135" s="203"/>
      <c r="I135" s="163"/>
      <c r="J135" s="164"/>
      <c r="K135" s="163"/>
    </row>
    <row r="136" spans="1:11" s="3" customFormat="1" ht="21" customHeight="1">
      <c r="A136" s="156" t="s">
        <v>145</v>
      </c>
      <c r="B136" s="171"/>
      <c r="C136" s="194"/>
      <c r="D136" s="197"/>
      <c r="E136" s="254"/>
      <c r="F136" s="201"/>
      <c r="G136" s="202"/>
      <c r="H136" s="203"/>
      <c r="I136" s="163"/>
      <c r="J136" s="164"/>
      <c r="K136" s="163"/>
    </row>
    <row r="137" spans="1:11" s="3" customFormat="1" ht="21" customHeight="1">
      <c r="A137" s="156" t="s">
        <v>146</v>
      </c>
      <c r="B137" s="167"/>
      <c r="C137" s="208"/>
      <c r="D137" s="197"/>
      <c r="E137" s="254"/>
      <c r="F137" s="201"/>
      <c r="G137" s="202"/>
      <c r="H137" s="203"/>
      <c r="I137" s="163"/>
      <c r="J137" s="164"/>
      <c r="K137" s="163"/>
    </row>
    <row r="138" spans="1:11" s="3" customFormat="1" ht="21" customHeight="1">
      <c r="A138" s="156" t="s">
        <v>147</v>
      </c>
      <c r="B138" s="157"/>
      <c r="C138" s="158"/>
      <c r="D138" s="204"/>
      <c r="E138" s="255"/>
      <c r="F138" s="201"/>
      <c r="G138" s="202"/>
      <c r="H138" s="201"/>
      <c r="I138" s="163"/>
      <c r="J138" s="205"/>
      <c r="K138" s="163"/>
    </row>
    <row r="139" spans="1:11" s="3" customFormat="1" ht="21" customHeight="1">
      <c r="A139" s="156" t="s">
        <v>148</v>
      </c>
      <c r="B139" s="167"/>
      <c r="C139" s="209"/>
      <c r="D139" s="195"/>
      <c r="E139" s="234"/>
      <c r="F139" s="201"/>
      <c r="G139" s="202"/>
      <c r="H139" s="203"/>
      <c r="I139" s="163"/>
      <c r="J139" s="164"/>
      <c r="K139" s="163"/>
    </row>
    <row r="140" spans="1:11" s="3" customFormat="1" ht="21" customHeight="1">
      <c r="A140" s="156" t="s">
        <v>149</v>
      </c>
      <c r="B140" s="171"/>
      <c r="C140" s="194"/>
      <c r="D140" s="210"/>
      <c r="E140" s="144"/>
      <c r="F140" s="201"/>
      <c r="G140" s="202"/>
      <c r="H140" s="203"/>
      <c r="I140" s="211"/>
      <c r="J140" s="212"/>
      <c r="K140" s="211"/>
    </row>
    <row r="141" spans="1:11" s="3" customFormat="1" ht="21" customHeight="1">
      <c r="A141" s="156" t="s">
        <v>150</v>
      </c>
      <c r="B141" s="214"/>
      <c r="C141" s="12"/>
      <c r="D141" s="210"/>
      <c r="E141" s="144"/>
      <c r="F141" s="201"/>
      <c r="G141" s="202"/>
      <c r="H141" s="203"/>
      <c r="I141" s="211"/>
      <c r="J141" s="212"/>
      <c r="K141" s="211"/>
    </row>
    <row r="142" spans="1:11" s="3" customFormat="1" ht="21" customHeight="1">
      <c r="A142" s="156" t="s">
        <v>151</v>
      </c>
      <c r="B142" s="171"/>
      <c r="C142" s="194"/>
      <c r="D142" s="210"/>
      <c r="E142" s="144"/>
      <c r="F142" s="201"/>
      <c r="G142" s="202"/>
      <c r="H142" s="203"/>
      <c r="I142" s="211"/>
      <c r="J142" s="212"/>
      <c r="K142" s="211"/>
    </row>
    <row r="143" spans="1:11" s="3" customFormat="1" ht="21" customHeight="1">
      <c r="A143" s="156" t="s">
        <v>152</v>
      </c>
      <c r="B143" s="214"/>
      <c r="C143" s="12"/>
      <c r="D143" s="210"/>
      <c r="E143" s="144"/>
      <c r="F143" s="201"/>
      <c r="G143" s="202"/>
      <c r="H143" s="203"/>
      <c r="I143" s="211"/>
      <c r="J143" s="212"/>
      <c r="K143" s="211"/>
    </row>
    <row r="144" spans="1:11" s="3" customFormat="1" ht="21" customHeight="1">
      <c r="A144" s="156" t="s">
        <v>153</v>
      </c>
      <c r="B144" s="171"/>
      <c r="C144" s="194"/>
      <c r="D144" s="210"/>
      <c r="E144" s="144"/>
      <c r="F144" s="201"/>
      <c r="G144" s="202"/>
      <c r="H144" s="203"/>
      <c r="I144" s="211"/>
      <c r="J144" s="212"/>
      <c r="K144" s="211"/>
    </row>
    <row r="145" spans="1:11" s="3" customFormat="1" ht="21" customHeight="1">
      <c r="A145" s="156" t="s">
        <v>154</v>
      </c>
      <c r="B145" s="214"/>
      <c r="C145" s="12"/>
      <c r="D145" s="210"/>
      <c r="E145" s="144"/>
      <c r="F145" s="201"/>
      <c r="G145" s="202"/>
      <c r="H145" s="203"/>
      <c r="I145" s="211"/>
      <c r="J145" s="212"/>
      <c r="K145" s="211"/>
    </row>
    <row r="146" spans="1:11" s="3" customFormat="1" ht="21" customHeight="1">
      <c r="A146" s="156" t="s">
        <v>177</v>
      </c>
      <c r="B146" s="157"/>
      <c r="C146" s="158"/>
      <c r="D146" s="204"/>
      <c r="E146" s="255"/>
      <c r="F146" s="201"/>
      <c r="G146" s="202"/>
      <c r="H146" s="201"/>
      <c r="I146" s="163"/>
      <c r="J146" s="205"/>
      <c r="K146" s="163"/>
    </row>
    <row r="147" spans="1:11" s="112" customFormat="1">
      <c r="A147" s="216"/>
      <c r="B147" s="217"/>
      <c r="C147" s="218"/>
      <c r="D147" s="219"/>
      <c r="E147" s="220"/>
      <c r="F147" s="221"/>
      <c r="G147" s="222"/>
      <c r="I147" s="220"/>
    </row>
    <row r="148" spans="1:11" s="112" customFormat="1">
      <c r="A148" s="216"/>
      <c r="B148" s="217"/>
      <c r="C148" s="218"/>
      <c r="D148" s="219"/>
      <c r="E148" s="220"/>
      <c r="F148" s="221"/>
      <c r="G148" s="222"/>
      <c r="I148" s="220"/>
    </row>
    <row r="149" spans="1:11" s="112" customFormat="1">
      <c r="A149" s="216"/>
      <c r="B149" s="217"/>
      <c r="C149" s="218"/>
      <c r="D149" s="219"/>
      <c r="E149" s="220"/>
      <c r="F149" s="221"/>
      <c r="G149" s="222"/>
      <c r="I149" s="220"/>
    </row>
    <row r="150" spans="1:11" s="112" customFormat="1">
      <c r="A150" s="216"/>
      <c r="B150" s="217"/>
      <c r="C150" s="218"/>
      <c r="D150" s="219"/>
      <c r="E150" s="220"/>
      <c r="F150" s="221"/>
      <c r="G150" s="222"/>
      <c r="I150" s="220"/>
    </row>
    <row r="151" spans="1:11" s="112" customFormat="1">
      <c r="A151" s="216"/>
      <c r="B151" s="217"/>
      <c r="C151" s="218"/>
      <c r="D151" s="219"/>
      <c r="E151" s="220"/>
      <c r="F151" s="221"/>
      <c r="G151" s="222"/>
      <c r="I151" s="220"/>
    </row>
    <row r="152" spans="1:11" s="112" customFormat="1">
      <c r="A152" s="216"/>
      <c r="B152" s="217"/>
      <c r="C152" s="218"/>
      <c r="D152" s="219"/>
      <c r="E152" s="220"/>
      <c r="F152" s="221"/>
      <c r="G152" s="222"/>
      <c r="I152" s="220"/>
    </row>
    <row r="153" spans="1:11" s="112" customFormat="1">
      <c r="A153" s="216"/>
      <c r="B153" s="217"/>
      <c r="C153" s="218"/>
      <c r="D153" s="219"/>
      <c r="E153" s="220"/>
      <c r="F153" s="221"/>
      <c r="G153" s="222"/>
      <c r="I153" s="220"/>
    </row>
    <row r="154" spans="1:11" s="112" customFormat="1">
      <c r="A154" s="216"/>
      <c r="B154" s="217"/>
      <c r="C154" s="218"/>
      <c r="D154" s="219"/>
      <c r="E154" s="220"/>
      <c r="F154" s="221"/>
      <c r="G154" s="222"/>
      <c r="I154" s="220"/>
    </row>
    <row r="155" spans="1:11" s="112" customFormat="1">
      <c r="A155" s="216"/>
      <c r="B155" s="217"/>
      <c r="C155" s="218"/>
      <c r="D155" s="219"/>
      <c r="E155" s="220"/>
      <c r="F155" s="221"/>
      <c r="G155" s="222"/>
      <c r="I155" s="220"/>
    </row>
    <row r="156" spans="1:11" s="112" customFormat="1">
      <c r="A156" s="216"/>
      <c r="B156" s="217"/>
      <c r="C156" s="218"/>
      <c r="D156" s="219"/>
      <c r="E156" s="220"/>
      <c r="F156" s="221"/>
      <c r="G156" s="222"/>
      <c r="I156" s="220"/>
    </row>
    <row r="157" spans="1:11" s="112" customFormat="1">
      <c r="A157" s="216"/>
      <c r="B157" s="217"/>
      <c r="C157" s="218"/>
      <c r="D157" s="219"/>
      <c r="E157" s="220"/>
      <c r="F157" s="221"/>
      <c r="G157" s="222"/>
      <c r="I157" s="220"/>
    </row>
    <row r="158" spans="1:11" s="112" customFormat="1">
      <c r="A158" s="216"/>
      <c r="B158" s="217"/>
      <c r="C158" s="218"/>
      <c r="D158" s="219"/>
      <c r="E158" s="220"/>
      <c r="F158" s="221"/>
      <c r="G158" s="222"/>
      <c r="I158" s="220"/>
    </row>
    <row r="159" spans="1:11" s="112" customFormat="1">
      <c r="A159" s="216"/>
      <c r="B159" s="217"/>
      <c r="C159" s="218"/>
      <c r="D159" s="219"/>
      <c r="E159" s="220"/>
      <c r="F159" s="221"/>
      <c r="G159" s="222"/>
      <c r="I159" s="220"/>
    </row>
    <row r="160" spans="1:11" s="112" customFormat="1">
      <c r="A160" s="216"/>
      <c r="B160" s="217"/>
      <c r="C160" s="218"/>
      <c r="D160" s="219"/>
      <c r="E160" s="220"/>
      <c r="F160" s="221"/>
      <c r="G160" s="222"/>
      <c r="I160" s="220"/>
    </row>
    <row r="161" spans="1:9" s="112" customFormat="1">
      <c r="A161" s="216"/>
      <c r="B161" s="217"/>
      <c r="C161" s="218"/>
      <c r="D161" s="219"/>
      <c r="E161" s="220"/>
      <c r="F161" s="221"/>
      <c r="G161" s="222"/>
      <c r="I161" s="220"/>
    </row>
    <row r="162" spans="1:9" s="112" customFormat="1">
      <c r="A162" s="216"/>
      <c r="B162" s="217"/>
      <c r="C162" s="218"/>
      <c r="D162" s="219"/>
      <c r="E162" s="220"/>
      <c r="F162" s="221"/>
      <c r="G162" s="222"/>
      <c r="I162" s="220"/>
    </row>
    <row r="163" spans="1:9" s="112" customFormat="1">
      <c r="A163" s="216"/>
      <c r="B163" s="217"/>
      <c r="C163" s="218"/>
      <c r="D163" s="219"/>
      <c r="E163" s="220"/>
      <c r="F163" s="221"/>
      <c r="G163" s="222"/>
      <c r="I163" s="220"/>
    </row>
    <row r="164" spans="1:9" s="112" customFormat="1">
      <c r="A164" s="216"/>
      <c r="B164" s="217"/>
      <c r="C164" s="218"/>
      <c r="D164" s="219"/>
      <c r="E164" s="220"/>
      <c r="F164" s="221"/>
      <c r="G164" s="222"/>
      <c r="I164" s="220"/>
    </row>
    <row r="165" spans="1:9" s="112" customFormat="1">
      <c r="A165" s="216"/>
      <c r="B165" s="217"/>
      <c r="C165" s="218"/>
      <c r="D165" s="219"/>
      <c r="E165" s="220"/>
      <c r="F165" s="221"/>
      <c r="G165" s="222"/>
      <c r="I165" s="220"/>
    </row>
    <row r="166" spans="1:9" s="112" customFormat="1">
      <c r="A166" s="216"/>
      <c r="B166" s="217"/>
      <c r="C166" s="218"/>
      <c r="D166" s="219"/>
      <c r="E166" s="220"/>
      <c r="F166" s="221"/>
      <c r="G166" s="222"/>
      <c r="I166" s="220"/>
    </row>
    <row r="167" spans="1:9" s="112" customFormat="1">
      <c r="A167" s="216"/>
      <c r="B167" s="217"/>
      <c r="C167" s="218"/>
      <c r="D167" s="219"/>
      <c r="E167" s="220"/>
      <c r="F167" s="221"/>
      <c r="G167" s="222"/>
      <c r="I167" s="220"/>
    </row>
    <row r="168" spans="1:9" s="112" customFormat="1">
      <c r="A168" s="216"/>
      <c r="B168" s="217"/>
      <c r="C168" s="218"/>
      <c r="D168" s="219"/>
      <c r="E168" s="220"/>
      <c r="F168" s="221"/>
      <c r="G168" s="222"/>
      <c r="I168" s="220"/>
    </row>
    <row r="169" spans="1:9" s="112" customFormat="1">
      <c r="A169" s="216"/>
      <c r="B169" s="217"/>
      <c r="C169" s="218"/>
      <c r="D169" s="219"/>
      <c r="E169" s="220"/>
      <c r="F169" s="221"/>
      <c r="G169" s="222"/>
      <c r="I169" s="220"/>
    </row>
    <row r="170" spans="1:9" s="112" customFormat="1">
      <c r="A170" s="216"/>
      <c r="B170" s="217"/>
      <c r="C170" s="218"/>
      <c r="D170" s="219"/>
      <c r="E170" s="220"/>
      <c r="F170" s="221"/>
      <c r="G170" s="222"/>
      <c r="I170" s="220"/>
    </row>
    <row r="171" spans="1:9" s="112" customFormat="1">
      <c r="A171" s="216"/>
      <c r="B171" s="217"/>
      <c r="C171" s="218"/>
      <c r="D171" s="219"/>
      <c r="E171" s="220"/>
      <c r="F171" s="221"/>
      <c r="G171" s="222"/>
      <c r="I171" s="220"/>
    </row>
    <row r="172" spans="1:9" s="112" customFormat="1">
      <c r="A172" s="216"/>
      <c r="B172" s="217"/>
      <c r="C172" s="218"/>
      <c r="D172" s="219"/>
      <c r="E172" s="220"/>
      <c r="F172" s="221"/>
      <c r="G172" s="222"/>
      <c r="I172" s="220"/>
    </row>
    <row r="173" spans="1:9" s="112" customFormat="1">
      <c r="A173" s="216"/>
      <c r="B173" s="217"/>
      <c r="C173" s="218"/>
      <c r="D173" s="219"/>
      <c r="E173" s="220"/>
      <c r="F173" s="221"/>
      <c r="G173" s="222"/>
      <c r="I173" s="220"/>
    </row>
    <row r="174" spans="1:9" s="112" customFormat="1">
      <c r="A174" s="216"/>
      <c r="B174" s="217"/>
      <c r="C174" s="218"/>
      <c r="D174" s="219"/>
      <c r="E174" s="220"/>
      <c r="F174" s="221"/>
      <c r="G174" s="222"/>
      <c r="I174" s="220"/>
    </row>
    <row r="175" spans="1:9" s="112" customFormat="1">
      <c r="A175" s="216"/>
      <c r="B175" s="217"/>
      <c r="C175" s="218"/>
      <c r="D175" s="219"/>
      <c r="E175" s="220"/>
      <c r="F175" s="221"/>
      <c r="G175" s="222"/>
      <c r="I175" s="220"/>
    </row>
    <row r="176" spans="1:9" s="112" customFormat="1">
      <c r="A176" s="216"/>
      <c r="B176" s="217"/>
      <c r="C176" s="218"/>
      <c r="D176" s="219"/>
      <c r="E176" s="220"/>
      <c r="F176" s="221"/>
      <c r="G176" s="222"/>
      <c r="I176" s="220"/>
    </row>
    <row r="177" spans="1:9" s="112" customFormat="1">
      <c r="A177" s="216"/>
      <c r="B177" s="217"/>
      <c r="C177" s="218"/>
      <c r="D177" s="219"/>
      <c r="E177" s="220"/>
      <c r="F177" s="221"/>
      <c r="G177" s="222"/>
      <c r="I177" s="220"/>
    </row>
    <row r="178" spans="1:9" s="112" customFormat="1">
      <c r="A178" s="216"/>
      <c r="B178" s="217"/>
      <c r="C178" s="218"/>
      <c r="D178" s="219"/>
      <c r="E178" s="220"/>
      <c r="F178" s="221"/>
      <c r="G178" s="222"/>
      <c r="I178" s="220"/>
    </row>
    <row r="179" spans="1:9" s="112" customFormat="1">
      <c r="A179" s="216"/>
      <c r="B179" s="217"/>
      <c r="C179" s="218"/>
      <c r="D179" s="219"/>
      <c r="E179" s="220"/>
      <c r="F179" s="221"/>
      <c r="G179" s="222"/>
      <c r="I179" s="220"/>
    </row>
    <row r="180" spans="1:9" s="112" customFormat="1">
      <c r="A180" s="216"/>
      <c r="B180" s="217"/>
      <c r="C180" s="218"/>
      <c r="D180" s="219"/>
      <c r="E180" s="220"/>
      <c r="F180" s="221"/>
      <c r="G180" s="222"/>
      <c r="I180" s="220"/>
    </row>
    <row r="181" spans="1:9" s="112" customFormat="1">
      <c r="A181" s="216"/>
      <c r="B181" s="217"/>
      <c r="C181" s="218"/>
      <c r="D181" s="219"/>
      <c r="E181" s="220"/>
      <c r="F181" s="221"/>
      <c r="G181" s="222"/>
      <c r="I181" s="220"/>
    </row>
    <row r="182" spans="1:9" s="112" customFormat="1">
      <c r="A182" s="216"/>
      <c r="B182" s="217"/>
      <c r="C182" s="218"/>
      <c r="D182" s="219"/>
      <c r="E182" s="220"/>
      <c r="F182" s="221"/>
      <c r="G182" s="222"/>
      <c r="I182" s="220"/>
    </row>
    <row r="183" spans="1:9" s="112" customFormat="1">
      <c r="A183" s="216"/>
      <c r="B183" s="217"/>
      <c r="C183" s="218"/>
      <c r="D183" s="219"/>
      <c r="E183" s="220"/>
      <c r="F183" s="221"/>
      <c r="G183" s="222"/>
      <c r="I183" s="220"/>
    </row>
    <row r="184" spans="1:9" s="112" customFormat="1">
      <c r="A184" s="216"/>
      <c r="B184" s="217"/>
      <c r="C184" s="218"/>
      <c r="D184" s="219"/>
      <c r="E184" s="220"/>
      <c r="F184" s="221"/>
      <c r="G184" s="222"/>
      <c r="I184" s="220"/>
    </row>
    <row r="185" spans="1:9" s="112" customFormat="1">
      <c r="A185" s="216"/>
      <c r="B185" s="217"/>
      <c r="C185" s="218"/>
      <c r="D185" s="219"/>
      <c r="E185" s="220"/>
      <c r="F185" s="221"/>
      <c r="G185" s="222"/>
      <c r="I185" s="220"/>
    </row>
    <row r="186" spans="1:9" s="112" customFormat="1">
      <c r="A186" s="216"/>
      <c r="B186" s="217"/>
      <c r="C186" s="218"/>
      <c r="D186" s="219"/>
      <c r="E186" s="220"/>
      <c r="F186" s="221"/>
      <c r="G186" s="222"/>
      <c r="I186" s="220"/>
    </row>
    <row r="187" spans="1:9" s="112" customFormat="1">
      <c r="A187" s="216"/>
      <c r="B187" s="217"/>
      <c r="C187" s="218"/>
      <c r="D187" s="219"/>
      <c r="E187" s="220"/>
      <c r="F187" s="221"/>
      <c r="G187" s="222"/>
      <c r="I187" s="220"/>
    </row>
    <row r="188" spans="1:9" s="112" customFormat="1">
      <c r="A188" s="216"/>
      <c r="B188" s="217"/>
      <c r="C188" s="218"/>
      <c r="D188" s="219"/>
      <c r="E188" s="220"/>
      <c r="F188" s="221"/>
      <c r="G188" s="222"/>
      <c r="I188" s="220"/>
    </row>
    <row r="189" spans="1:9" s="112" customFormat="1">
      <c r="A189" s="216"/>
      <c r="B189" s="217"/>
      <c r="C189" s="218"/>
      <c r="D189" s="219"/>
      <c r="E189" s="220"/>
      <c r="F189" s="221"/>
      <c r="G189" s="222"/>
      <c r="I189" s="220"/>
    </row>
    <row r="190" spans="1:9" s="112" customFormat="1">
      <c r="A190" s="216"/>
      <c r="B190" s="217"/>
      <c r="C190" s="218"/>
      <c r="D190" s="219"/>
      <c r="E190" s="220"/>
      <c r="F190" s="221"/>
      <c r="G190" s="222"/>
      <c r="I190" s="220"/>
    </row>
    <row r="191" spans="1:9" s="112" customFormat="1">
      <c r="A191" s="216"/>
      <c r="B191" s="217"/>
      <c r="C191" s="218"/>
      <c r="D191" s="219"/>
      <c r="E191" s="220"/>
      <c r="F191" s="221"/>
      <c r="G191" s="222"/>
      <c r="I191" s="220"/>
    </row>
    <row r="192" spans="1:9" s="112" customFormat="1">
      <c r="A192" s="216"/>
      <c r="B192" s="217"/>
      <c r="C192" s="218"/>
      <c r="D192" s="219"/>
      <c r="E192" s="220"/>
      <c r="F192" s="221"/>
      <c r="G192" s="222"/>
      <c r="I192" s="220"/>
    </row>
    <row r="193" spans="1:9" s="112" customFormat="1">
      <c r="A193" s="216"/>
      <c r="B193" s="217"/>
      <c r="C193" s="218"/>
      <c r="D193" s="219"/>
      <c r="E193" s="220"/>
      <c r="F193" s="221"/>
      <c r="G193" s="222"/>
      <c r="I193" s="220"/>
    </row>
    <row r="194" spans="1:9" s="112" customFormat="1">
      <c r="A194" s="216"/>
      <c r="B194" s="217"/>
      <c r="C194" s="218"/>
      <c r="D194" s="219"/>
      <c r="E194" s="220"/>
      <c r="F194" s="221"/>
      <c r="G194" s="222"/>
      <c r="I194" s="220"/>
    </row>
    <row r="195" spans="1:9" s="112" customFormat="1">
      <c r="A195" s="216"/>
      <c r="B195" s="217"/>
      <c r="C195" s="218"/>
      <c r="D195" s="219"/>
      <c r="E195" s="220"/>
      <c r="F195" s="221"/>
      <c r="G195" s="222"/>
      <c r="I195" s="220"/>
    </row>
    <row r="196" spans="1:9" s="112" customFormat="1">
      <c r="A196" s="216"/>
      <c r="B196" s="217"/>
      <c r="C196" s="218"/>
      <c r="D196" s="219"/>
      <c r="E196" s="220"/>
      <c r="F196" s="221"/>
      <c r="G196" s="222"/>
      <c r="I196" s="220"/>
    </row>
    <row r="197" spans="1:9" s="112" customFormat="1">
      <c r="A197" s="216"/>
      <c r="B197" s="217"/>
      <c r="C197" s="218"/>
      <c r="D197" s="219"/>
      <c r="E197" s="220"/>
      <c r="F197" s="221"/>
      <c r="G197" s="222"/>
      <c r="I197" s="220"/>
    </row>
    <row r="198" spans="1:9" s="112" customFormat="1">
      <c r="A198" s="216"/>
      <c r="B198" s="217"/>
      <c r="C198" s="218"/>
      <c r="D198" s="219"/>
      <c r="E198" s="220"/>
      <c r="F198" s="221"/>
      <c r="G198" s="222"/>
      <c r="I198" s="220"/>
    </row>
    <row r="199" spans="1:9" s="112" customFormat="1">
      <c r="A199" s="216"/>
      <c r="B199" s="217"/>
      <c r="C199" s="218"/>
      <c r="D199" s="219"/>
      <c r="E199" s="220"/>
      <c r="F199" s="221"/>
      <c r="G199" s="222"/>
      <c r="I199" s="220"/>
    </row>
    <row r="200" spans="1:9" s="112" customFormat="1">
      <c r="A200" s="216"/>
      <c r="B200" s="217"/>
      <c r="C200" s="218"/>
      <c r="D200" s="219"/>
      <c r="E200" s="220"/>
      <c r="F200" s="221"/>
      <c r="G200" s="222"/>
      <c r="I200" s="220"/>
    </row>
    <row r="201" spans="1:9" s="112" customFormat="1">
      <c r="A201" s="216"/>
      <c r="B201" s="217"/>
      <c r="C201" s="218"/>
      <c r="D201" s="219"/>
      <c r="E201" s="220"/>
      <c r="F201" s="221"/>
      <c r="G201" s="222"/>
      <c r="I201" s="220"/>
    </row>
    <row r="202" spans="1:9" s="112" customFormat="1">
      <c r="A202" s="216"/>
      <c r="B202" s="217"/>
      <c r="C202" s="218"/>
      <c r="D202" s="219"/>
      <c r="E202" s="220"/>
      <c r="F202" s="221"/>
      <c r="G202" s="222"/>
      <c r="I202" s="220"/>
    </row>
    <row r="203" spans="1:9" s="112" customFormat="1">
      <c r="A203" s="216"/>
      <c r="B203" s="217"/>
      <c r="C203" s="218"/>
      <c r="D203" s="219"/>
      <c r="E203" s="220"/>
      <c r="F203" s="221"/>
      <c r="G203" s="222"/>
      <c r="I203" s="220"/>
    </row>
    <row r="204" spans="1:9" s="112" customFormat="1">
      <c r="A204" s="216"/>
      <c r="B204" s="217"/>
      <c r="C204" s="218"/>
      <c r="D204" s="219"/>
      <c r="E204" s="220"/>
      <c r="F204" s="221"/>
      <c r="G204" s="222"/>
      <c r="I204" s="220"/>
    </row>
    <row r="205" spans="1:9" s="112" customFormat="1">
      <c r="A205" s="216"/>
      <c r="B205" s="217"/>
      <c r="C205" s="218"/>
      <c r="D205" s="219"/>
      <c r="E205" s="220"/>
      <c r="F205" s="221"/>
      <c r="G205" s="222"/>
      <c r="I205" s="220"/>
    </row>
    <row r="206" spans="1:9" s="112" customFormat="1">
      <c r="A206" s="216"/>
      <c r="B206" s="217"/>
      <c r="C206" s="218"/>
      <c r="D206" s="219"/>
      <c r="E206" s="220"/>
      <c r="F206" s="221"/>
      <c r="G206" s="222"/>
      <c r="I206" s="220"/>
    </row>
    <row r="207" spans="1:9" s="112" customFormat="1">
      <c r="A207" s="216"/>
      <c r="B207" s="217"/>
      <c r="C207" s="218"/>
      <c r="D207" s="219"/>
      <c r="E207" s="220"/>
      <c r="F207" s="221"/>
      <c r="G207" s="222"/>
      <c r="I207" s="220"/>
    </row>
    <row r="208" spans="1:9" s="112" customFormat="1">
      <c r="A208" s="216"/>
      <c r="B208" s="217"/>
      <c r="C208" s="218"/>
      <c r="D208" s="219"/>
      <c r="E208" s="220"/>
      <c r="F208" s="221"/>
      <c r="G208" s="222"/>
      <c r="I208" s="220"/>
    </row>
    <row r="209" spans="1:9" s="112" customFormat="1">
      <c r="A209" s="216"/>
      <c r="B209" s="217"/>
      <c r="C209" s="218"/>
      <c r="D209" s="219"/>
      <c r="E209" s="220"/>
      <c r="F209" s="221"/>
      <c r="G209" s="222"/>
      <c r="I209" s="220"/>
    </row>
    <row r="210" spans="1:9" s="112" customFormat="1">
      <c r="A210" s="216"/>
      <c r="B210" s="217"/>
      <c r="C210" s="218"/>
      <c r="D210" s="219"/>
      <c r="E210" s="220"/>
      <c r="F210" s="221"/>
      <c r="G210" s="222"/>
      <c r="I210" s="220"/>
    </row>
    <row r="211" spans="1:9" s="112" customFormat="1">
      <c r="A211" s="216"/>
      <c r="B211" s="217"/>
      <c r="C211" s="218"/>
      <c r="D211" s="219"/>
      <c r="E211" s="220"/>
      <c r="F211" s="221"/>
      <c r="G211" s="222"/>
      <c r="I211" s="220"/>
    </row>
    <row r="212" spans="1:9" s="112" customFormat="1">
      <c r="A212" s="216"/>
      <c r="B212" s="217"/>
      <c r="C212" s="218"/>
      <c r="D212" s="219"/>
      <c r="E212" s="220"/>
      <c r="F212" s="221"/>
      <c r="G212" s="222"/>
      <c r="I212" s="220"/>
    </row>
    <row r="213" spans="1:9" s="112" customFormat="1">
      <c r="A213" s="216"/>
      <c r="B213" s="217"/>
      <c r="C213" s="218"/>
      <c r="D213" s="219"/>
      <c r="E213" s="220"/>
      <c r="F213" s="221"/>
      <c r="G213" s="222"/>
      <c r="I213" s="220"/>
    </row>
    <row r="214" spans="1:9" s="112" customFormat="1">
      <c r="A214" s="216"/>
      <c r="B214" s="217"/>
      <c r="C214" s="218"/>
      <c r="D214" s="219"/>
      <c r="E214" s="220"/>
      <c r="F214" s="221"/>
      <c r="G214" s="222"/>
      <c r="I214" s="220"/>
    </row>
    <row r="215" spans="1:9" s="112" customFormat="1">
      <c r="A215" s="216"/>
      <c r="B215" s="217"/>
      <c r="C215" s="218"/>
      <c r="D215" s="219"/>
      <c r="E215" s="220"/>
      <c r="F215" s="221"/>
      <c r="G215" s="222"/>
      <c r="I215" s="220"/>
    </row>
    <row r="216" spans="1:9" s="112" customFormat="1">
      <c r="A216" s="216"/>
      <c r="B216" s="217"/>
      <c r="C216" s="218"/>
      <c r="D216" s="219"/>
      <c r="E216" s="220"/>
      <c r="F216" s="221"/>
      <c r="G216" s="222"/>
      <c r="I216" s="220"/>
    </row>
    <row r="217" spans="1:9" s="112" customFormat="1">
      <c r="A217" s="216"/>
      <c r="B217" s="217"/>
      <c r="C217" s="218"/>
      <c r="D217" s="219"/>
      <c r="E217" s="220"/>
      <c r="F217" s="221"/>
      <c r="G217" s="222"/>
      <c r="I217" s="220"/>
    </row>
    <row r="218" spans="1:9" s="112" customFormat="1">
      <c r="A218" s="216"/>
      <c r="B218" s="217"/>
      <c r="C218" s="218"/>
      <c r="D218" s="219"/>
      <c r="E218" s="220"/>
      <c r="F218" s="221"/>
      <c r="G218" s="222"/>
      <c r="I218" s="220"/>
    </row>
    <row r="219" spans="1:9" s="112" customFormat="1">
      <c r="A219" s="216"/>
      <c r="B219" s="217"/>
      <c r="C219" s="218"/>
      <c r="D219" s="219"/>
      <c r="E219" s="220"/>
      <c r="F219" s="221"/>
      <c r="G219" s="222"/>
      <c r="I219" s="220"/>
    </row>
    <row r="220" spans="1:9" s="112" customFormat="1">
      <c r="A220" s="216"/>
      <c r="B220" s="217"/>
      <c r="C220" s="218"/>
      <c r="D220" s="219"/>
      <c r="E220" s="220"/>
      <c r="F220" s="221"/>
      <c r="G220" s="222"/>
      <c r="I220" s="220"/>
    </row>
    <row r="221" spans="1:9" s="112" customFormat="1">
      <c r="A221" s="216"/>
      <c r="B221" s="217"/>
      <c r="C221" s="218"/>
      <c r="D221" s="219"/>
      <c r="E221" s="220"/>
      <c r="F221" s="221"/>
      <c r="G221" s="222"/>
      <c r="I221" s="220"/>
    </row>
    <row r="222" spans="1:9" s="112" customFormat="1">
      <c r="A222" s="216"/>
      <c r="B222" s="217"/>
      <c r="C222" s="218"/>
      <c r="D222" s="219"/>
      <c r="E222" s="220"/>
      <c r="F222" s="221"/>
      <c r="G222" s="222"/>
      <c r="I222" s="220"/>
    </row>
    <row r="223" spans="1:9" s="112" customFormat="1">
      <c r="A223" s="216"/>
      <c r="B223" s="217"/>
      <c r="C223" s="218"/>
      <c r="D223" s="219"/>
      <c r="E223" s="220"/>
      <c r="F223" s="221"/>
      <c r="G223" s="222"/>
      <c r="I223" s="220"/>
    </row>
    <row r="224" spans="1:9" s="112" customFormat="1">
      <c r="A224" s="216"/>
      <c r="B224" s="217"/>
      <c r="C224" s="218"/>
      <c r="D224" s="219"/>
      <c r="E224" s="220"/>
      <c r="F224" s="221"/>
      <c r="G224" s="222"/>
      <c r="I224" s="220"/>
    </row>
    <row r="225" spans="1:9" s="112" customFormat="1">
      <c r="A225" s="216"/>
      <c r="B225" s="217"/>
      <c r="C225" s="218"/>
      <c r="D225" s="219"/>
      <c r="E225" s="220"/>
      <c r="F225" s="221"/>
      <c r="G225" s="222"/>
      <c r="I225" s="220"/>
    </row>
    <row r="226" spans="1:9" s="112" customFormat="1">
      <c r="A226" s="216"/>
      <c r="B226" s="217"/>
      <c r="C226" s="218"/>
      <c r="D226" s="219"/>
      <c r="E226" s="220"/>
      <c r="F226" s="221"/>
      <c r="G226" s="222"/>
      <c r="I226" s="220"/>
    </row>
    <row r="227" spans="1:9" s="112" customFormat="1">
      <c r="A227" s="216"/>
      <c r="B227" s="217"/>
      <c r="C227" s="218"/>
      <c r="D227" s="219"/>
      <c r="E227" s="220"/>
      <c r="F227" s="221"/>
      <c r="G227" s="222"/>
      <c r="I227" s="220"/>
    </row>
    <row r="228" spans="1:9" s="112" customFormat="1">
      <c r="A228" s="216"/>
      <c r="B228" s="217"/>
      <c r="C228" s="218"/>
      <c r="D228" s="219"/>
      <c r="E228" s="220"/>
      <c r="F228" s="221"/>
      <c r="G228" s="222"/>
      <c r="I228" s="220"/>
    </row>
    <row r="229" spans="1:9" s="112" customFormat="1">
      <c r="A229" s="216"/>
      <c r="B229" s="217"/>
      <c r="C229" s="218"/>
      <c r="D229" s="219"/>
      <c r="E229" s="220"/>
      <c r="F229" s="221"/>
      <c r="G229" s="222"/>
      <c r="I229" s="220"/>
    </row>
    <row r="230" spans="1:9" s="112" customFormat="1">
      <c r="A230" s="216"/>
      <c r="B230" s="217"/>
      <c r="C230" s="218"/>
      <c r="D230" s="219"/>
      <c r="E230" s="220"/>
      <c r="F230" s="221"/>
      <c r="G230" s="222"/>
      <c r="I230" s="220"/>
    </row>
    <row r="231" spans="1:9" s="112" customFormat="1">
      <c r="A231" s="216"/>
      <c r="B231" s="217"/>
      <c r="C231" s="218"/>
      <c r="D231" s="219"/>
      <c r="E231" s="220"/>
      <c r="F231" s="221"/>
      <c r="G231" s="222"/>
      <c r="I231" s="220"/>
    </row>
    <row r="232" spans="1:9" s="112" customFormat="1">
      <c r="A232" s="216"/>
      <c r="B232" s="217"/>
      <c r="C232" s="218"/>
      <c r="D232" s="219"/>
      <c r="E232" s="220"/>
      <c r="F232" s="221"/>
      <c r="G232" s="222"/>
      <c r="I232" s="220"/>
    </row>
    <row r="233" spans="1:9" s="112" customFormat="1">
      <c r="A233" s="216"/>
      <c r="B233" s="217"/>
      <c r="C233" s="218"/>
      <c r="D233" s="219"/>
      <c r="E233" s="220"/>
      <c r="F233" s="221"/>
      <c r="G233" s="222"/>
      <c r="I233" s="220"/>
    </row>
    <row r="234" spans="1:9" s="112" customFormat="1">
      <c r="A234" s="216"/>
      <c r="B234" s="217"/>
      <c r="C234" s="218"/>
      <c r="D234" s="219"/>
      <c r="E234" s="220"/>
      <c r="F234" s="221"/>
      <c r="G234" s="222"/>
      <c r="I234" s="220"/>
    </row>
    <row r="235" spans="1:9" s="112" customFormat="1">
      <c r="A235" s="216"/>
      <c r="B235" s="217"/>
      <c r="C235" s="218"/>
      <c r="D235" s="219"/>
      <c r="E235" s="220"/>
      <c r="F235" s="221"/>
      <c r="G235" s="222"/>
      <c r="I235" s="220"/>
    </row>
    <row r="236" spans="1:9" s="112" customFormat="1">
      <c r="A236" s="216"/>
      <c r="B236" s="217"/>
      <c r="C236" s="218"/>
      <c r="D236" s="219"/>
      <c r="E236" s="220"/>
      <c r="F236" s="221"/>
      <c r="G236" s="222"/>
      <c r="I236" s="220"/>
    </row>
    <row r="237" spans="1:9" s="112" customFormat="1">
      <c r="A237" s="216"/>
      <c r="B237" s="217"/>
      <c r="C237" s="218"/>
      <c r="D237" s="219"/>
      <c r="E237" s="220"/>
      <c r="F237" s="221"/>
      <c r="G237" s="222"/>
      <c r="I237" s="220"/>
    </row>
    <row r="238" spans="1:9" s="112" customFormat="1">
      <c r="A238" s="216"/>
      <c r="B238" s="217"/>
      <c r="C238" s="218"/>
      <c r="D238" s="219"/>
      <c r="E238" s="220"/>
      <c r="F238" s="221"/>
      <c r="G238" s="222"/>
      <c r="I238" s="220"/>
    </row>
    <row r="239" spans="1:9" s="112" customFormat="1">
      <c r="A239" s="216"/>
      <c r="B239" s="217"/>
      <c r="C239" s="218"/>
      <c r="D239" s="219"/>
      <c r="E239" s="220"/>
      <c r="F239" s="221"/>
      <c r="G239" s="222"/>
      <c r="I239" s="220"/>
    </row>
    <row r="240" spans="1:9" s="112" customFormat="1">
      <c r="A240" s="216"/>
      <c r="B240" s="217"/>
      <c r="C240" s="218"/>
      <c r="D240" s="219"/>
      <c r="E240" s="220"/>
      <c r="F240" s="221"/>
      <c r="G240" s="222"/>
      <c r="I240" s="220"/>
    </row>
    <row r="241" spans="1:9" s="112" customFormat="1">
      <c r="A241" s="216"/>
      <c r="B241" s="217"/>
      <c r="C241" s="218"/>
      <c r="D241" s="219"/>
      <c r="E241" s="220"/>
      <c r="F241" s="221"/>
      <c r="G241" s="222"/>
      <c r="I241" s="220"/>
    </row>
    <row r="242" spans="1:9" s="112" customFormat="1">
      <c r="A242" s="216"/>
      <c r="B242" s="217"/>
      <c r="C242" s="218"/>
      <c r="D242" s="219"/>
      <c r="E242" s="220"/>
      <c r="F242" s="221"/>
      <c r="G242" s="222"/>
      <c r="I242" s="220"/>
    </row>
    <row r="243" spans="1:9" s="112" customFormat="1">
      <c r="A243" s="216"/>
      <c r="B243" s="217"/>
      <c r="C243" s="218"/>
      <c r="D243" s="219"/>
      <c r="E243" s="220"/>
      <c r="F243" s="221"/>
      <c r="G243" s="222"/>
      <c r="I243" s="220"/>
    </row>
    <row r="244" spans="1:9" s="112" customFormat="1">
      <c r="A244" s="216"/>
      <c r="B244" s="217"/>
      <c r="C244" s="218"/>
      <c r="D244" s="219"/>
      <c r="E244" s="220"/>
      <c r="F244" s="221"/>
      <c r="G244" s="222"/>
      <c r="I244" s="220"/>
    </row>
    <row r="245" spans="1:9" s="112" customFormat="1">
      <c r="A245" s="216"/>
      <c r="B245" s="217"/>
      <c r="C245" s="218"/>
      <c r="D245" s="219"/>
      <c r="E245" s="220"/>
      <c r="F245" s="221"/>
      <c r="G245" s="222"/>
      <c r="I245" s="220"/>
    </row>
    <row r="246" spans="1:9" s="112" customFormat="1">
      <c r="A246" s="216"/>
      <c r="B246" s="217"/>
      <c r="C246" s="218"/>
      <c r="D246" s="219"/>
      <c r="E246" s="220"/>
      <c r="F246" s="221"/>
      <c r="G246" s="222"/>
      <c r="I246" s="220"/>
    </row>
    <row r="247" spans="1:9" s="112" customFormat="1">
      <c r="A247" s="216"/>
      <c r="B247" s="217"/>
      <c r="C247" s="218"/>
      <c r="D247" s="219"/>
      <c r="E247" s="220"/>
      <c r="F247" s="221"/>
      <c r="G247" s="222"/>
      <c r="I247" s="220"/>
    </row>
    <row r="248" spans="1:9" s="112" customFormat="1">
      <c r="A248" s="216"/>
      <c r="B248" s="217"/>
      <c r="C248" s="218"/>
      <c r="D248" s="219"/>
      <c r="E248" s="220"/>
      <c r="F248" s="221"/>
      <c r="G248" s="222"/>
      <c r="I248" s="220"/>
    </row>
    <row r="249" spans="1:9" s="112" customFormat="1">
      <c r="A249" s="216"/>
      <c r="B249" s="217"/>
      <c r="C249" s="218"/>
      <c r="D249" s="219"/>
      <c r="E249" s="220"/>
      <c r="F249" s="221"/>
      <c r="G249" s="222"/>
      <c r="I249" s="220"/>
    </row>
    <row r="250" spans="1:9" s="112" customFormat="1">
      <c r="A250" s="216"/>
      <c r="B250" s="217"/>
      <c r="C250" s="218"/>
      <c r="D250" s="219"/>
      <c r="E250" s="220"/>
      <c r="F250" s="221"/>
      <c r="G250" s="222"/>
      <c r="I250" s="220"/>
    </row>
    <row r="251" spans="1:9" s="112" customFormat="1">
      <c r="A251" s="216"/>
      <c r="B251" s="217"/>
      <c r="C251" s="218"/>
      <c r="D251" s="219"/>
      <c r="E251" s="220"/>
      <c r="F251" s="221"/>
      <c r="G251" s="222"/>
      <c r="I251" s="220"/>
    </row>
    <row r="252" spans="1:9" s="112" customFormat="1">
      <c r="A252" s="216"/>
      <c r="B252" s="217"/>
      <c r="C252" s="218"/>
      <c r="D252" s="219"/>
      <c r="E252" s="220"/>
      <c r="F252" s="221"/>
      <c r="G252" s="222"/>
      <c r="I252" s="220"/>
    </row>
    <row r="253" spans="1:9" s="112" customFormat="1">
      <c r="A253" s="216"/>
      <c r="B253" s="217"/>
      <c r="C253" s="218"/>
      <c r="D253" s="219"/>
      <c r="E253" s="220"/>
      <c r="F253" s="221"/>
      <c r="G253" s="222"/>
      <c r="I253" s="220"/>
    </row>
    <row r="254" spans="1:9" s="112" customFormat="1">
      <c r="A254" s="216"/>
      <c r="B254" s="217"/>
      <c r="C254" s="218"/>
      <c r="D254" s="219"/>
      <c r="E254" s="220"/>
      <c r="F254" s="221"/>
      <c r="G254" s="222"/>
      <c r="I254" s="220"/>
    </row>
    <row r="255" spans="1:9" s="112" customFormat="1">
      <c r="A255" s="216"/>
      <c r="B255" s="217"/>
      <c r="C255" s="218"/>
      <c r="D255" s="219"/>
      <c r="E255" s="220"/>
      <c r="F255" s="221"/>
      <c r="G255" s="222"/>
      <c r="I255" s="220"/>
    </row>
    <row r="256" spans="1:9" s="112" customFormat="1">
      <c r="A256" s="216"/>
      <c r="B256" s="217"/>
      <c r="C256" s="218"/>
      <c r="D256" s="219"/>
      <c r="E256" s="220"/>
      <c r="F256" s="221"/>
      <c r="G256" s="222"/>
      <c r="I256" s="220"/>
    </row>
    <row r="257" spans="1:9" s="112" customFormat="1">
      <c r="A257" s="216"/>
      <c r="B257" s="217"/>
      <c r="C257" s="218"/>
      <c r="D257" s="219"/>
      <c r="E257" s="220"/>
      <c r="F257" s="221"/>
      <c r="G257" s="222"/>
      <c r="I257" s="220"/>
    </row>
    <row r="258" spans="1:9" s="112" customFormat="1">
      <c r="A258" s="216"/>
      <c r="B258" s="217"/>
      <c r="C258" s="218"/>
      <c r="D258" s="219"/>
      <c r="E258" s="220"/>
      <c r="F258" s="221"/>
      <c r="G258" s="222"/>
      <c r="I258" s="220"/>
    </row>
    <row r="259" spans="1:9" s="112" customFormat="1">
      <c r="A259" s="216"/>
      <c r="B259" s="217"/>
      <c r="C259" s="218"/>
      <c r="D259" s="219"/>
      <c r="E259" s="220"/>
      <c r="F259" s="221"/>
      <c r="G259" s="222"/>
      <c r="I259" s="220"/>
    </row>
    <row r="260" spans="1:9" s="112" customFormat="1">
      <c r="A260" s="216"/>
      <c r="B260" s="217"/>
      <c r="C260" s="218"/>
      <c r="D260" s="219"/>
      <c r="E260" s="220"/>
      <c r="F260" s="221"/>
      <c r="G260" s="222"/>
      <c r="I260" s="220"/>
    </row>
    <row r="261" spans="1:9" s="112" customFormat="1">
      <c r="A261" s="216"/>
      <c r="B261" s="217"/>
      <c r="C261" s="218"/>
      <c r="D261" s="219"/>
      <c r="E261" s="220"/>
      <c r="F261" s="221"/>
      <c r="G261" s="222"/>
      <c r="I261" s="220"/>
    </row>
    <row r="262" spans="1:9" s="112" customFormat="1">
      <c r="A262" s="216"/>
      <c r="B262" s="217"/>
      <c r="C262" s="218"/>
      <c r="D262" s="219"/>
      <c r="E262" s="220"/>
      <c r="F262" s="221"/>
      <c r="G262" s="222"/>
      <c r="I262" s="220"/>
    </row>
    <row r="263" spans="1:9" s="112" customFormat="1">
      <c r="A263" s="216"/>
      <c r="B263" s="217"/>
      <c r="C263" s="218"/>
      <c r="D263" s="219"/>
      <c r="E263" s="220"/>
      <c r="F263" s="221"/>
      <c r="G263" s="222"/>
      <c r="I263" s="220"/>
    </row>
    <row r="264" spans="1:9" s="112" customFormat="1">
      <c r="A264" s="216"/>
      <c r="B264" s="217"/>
      <c r="C264" s="218"/>
      <c r="D264" s="219"/>
      <c r="E264" s="220"/>
      <c r="F264" s="221"/>
      <c r="G264" s="222"/>
      <c r="I264" s="220"/>
    </row>
    <row r="265" spans="1:9" s="112" customFormat="1">
      <c r="A265" s="216"/>
      <c r="B265" s="217"/>
      <c r="C265" s="218"/>
      <c r="D265" s="219"/>
      <c r="E265" s="220"/>
      <c r="F265" s="221"/>
      <c r="G265" s="222"/>
      <c r="I265" s="220"/>
    </row>
    <row r="266" spans="1:9" s="112" customFormat="1">
      <c r="A266" s="216"/>
      <c r="B266" s="217"/>
      <c r="C266" s="218"/>
      <c r="D266" s="219"/>
      <c r="E266" s="220"/>
      <c r="F266" s="221"/>
      <c r="G266" s="222"/>
      <c r="I266" s="220"/>
    </row>
    <row r="267" spans="1:9" s="112" customFormat="1">
      <c r="A267" s="216"/>
      <c r="B267" s="217"/>
      <c r="C267" s="218"/>
      <c r="D267" s="219"/>
      <c r="E267" s="220"/>
      <c r="F267" s="221"/>
      <c r="G267" s="222"/>
      <c r="I267" s="220"/>
    </row>
    <row r="268" spans="1:9" s="112" customFormat="1">
      <c r="A268" s="216"/>
      <c r="B268" s="217"/>
      <c r="C268" s="218"/>
      <c r="D268" s="219"/>
      <c r="E268" s="220"/>
      <c r="F268" s="221"/>
      <c r="G268" s="222"/>
      <c r="I268" s="220"/>
    </row>
    <row r="269" spans="1:9" s="112" customFormat="1">
      <c r="A269" s="216"/>
      <c r="B269" s="217"/>
      <c r="C269" s="218"/>
      <c r="D269" s="219"/>
      <c r="E269" s="220"/>
      <c r="F269" s="221"/>
      <c r="G269" s="222"/>
      <c r="I269" s="220"/>
    </row>
    <row r="270" spans="1:9" s="112" customFormat="1">
      <c r="A270" s="216"/>
      <c r="B270" s="217"/>
      <c r="C270" s="218"/>
      <c r="D270" s="219"/>
      <c r="E270" s="220"/>
      <c r="F270" s="221"/>
      <c r="G270" s="222"/>
      <c r="I270" s="220"/>
    </row>
    <row r="271" spans="1:9" s="112" customFormat="1">
      <c r="A271" s="216"/>
      <c r="B271" s="217"/>
      <c r="C271" s="218"/>
      <c r="D271" s="219"/>
      <c r="E271" s="220"/>
      <c r="F271" s="221"/>
      <c r="G271" s="222"/>
      <c r="I271" s="220"/>
    </row>
    <row r="272" spans="1:9" s="112" customFormat="1">
      <c r="A272" s="216"/>
      <c r="B272" s="217"/>
      <c r="C272" s="218"/>
      <c r="D272" s="219"/>
      <c r="E272" s="220"/>
      <c r="F272" s="221"/>
      <c r="G272" s="222"/>
      <c r="I272" s="220"/>
    </row>
    <row r="273" spans="1:9" s="112" customFormat="1">
      <c r="A273" s="216"/>
      <c r="B273" s="217"/>
      <c r="C273" s="218"/>
      <c r="D273" s="219"/>
      <c r="E273" s="220"/>
      <c r="F273" s="221"/>
      <c r="G273" s="222"/>
      <c r="I273" s="220"/>
    </row>
    <row r="274" spans="1:9" s="112" customFormat="1">
      <c r="A274" s="216"/>
      <c r="B274" s="217"/>
      <c r="C274" s="218"/>
      <c r="D274" s="219"/>
      <c r="E274" s="220"/>
      <c r="F274" s="221"/>
      <c r="G274" s="222"/>
      <c r="I274" s="220"/>
    </row>
    <row r="275" spans="1:9" s="112" customFormat="1">
      <c r="A275" s="216"/>
      <c r="B275" s="217"/>
      <c r="C275" s="218"/>
      <c r="D275" s="219"/>
      <c r="E275" s="220"/>
      <c r="F275" s="221"/>
      <c r="G275" s="222"/>
      <c r="I275" s="220"/>
    </row>
    <row r="276" spans="1:9" s="112" customFormat="1">
      <c r="A276" s="216"/>
      <c r="B276" s="217"/>
      <c r="C276" s="218"/>
      <c r="D276" s="219"/>
      <c r="E276" s="220"/>
      <c r="F276" s="221"/>
      <c r="G276" s="222"/>
      <c r="I276" s="220"/>
    </row>
    <row r="277" spans="1:9" s="112" customFormat="1">
      <c r="A277" s="216"/>
      <c r="B277" s="217"/>
      <c r="C277" s="218"/>
      <c r="D277" s="219"/>
      <c r="E277" s="220"/>
      <c r="F277" s="221"/>
      <c r="G277" s="222"/>
      <c r="I277" s="220"/>
    </row>
    <row r="278" spans="1:9" s="112" customFormat="1">
      <c r="A278" s="216"/>
      <c r="B278" s="217"/>
      <c r="C278" s="218"/>
      <c r="D278" s="219"/>
      <c r="E278" s="220"/>
      <c r="F278" s="221"/>
      <c r="G278" s="222"/>
      <c r="I278" s="220"/>
    </row>
    <row r="279" spans="1:9" s="112" customFormat="1">
      <c r="A279" s="216"/>
      <c r="B279" s="217"/>
      <c r="C279" s="218"/>
      <c r="D279" s="219"/>
      <c r="E279" s="220"/>
      <c r="F279" s="221"/>
      <c r="G279" s="222"/>
      <c r="I279" s="220"/>
    </row>
    <row r="280" spans="1:9" s="112" customFormat="1">
      <c r="A280" s="216"/>
      <c r="B280" s="217"/>
      <c r="C280" s="218"/>
      <c r="D280" s="219"/>
      <c r="E280" s="220"/>
      <c r="F280" s="221"/>
      <c r="G280" s="222"/>
      <c r="I280" s="220"/>
    </row>
    <row r="281" spans="1:9" s="112" customFormat="1">
      <c r="A281" s="216"/>
      <c r="B281" s="217"/>
      <c r="C281" s="218"/>
      <c r="D281" s="219"/>
      <c r="E281" s="220"/>
      <c r="F281" s="221"/>
      <c r="G281" s="222"/>
      <c r="I281" s="220"/>
    </row>
    <row r="282" spans="1:9" s="112" customFormat="1">
      <c r="A282" s="216"/>
      <c r="B282" s="217"/>
      <c r="C282" s="218"/>
      <c r="D282" s="219"/>
      <c r="E282" s="220"/>
      <c r="F282" s="221"/>
      <c r="G282" s="222"/>
      <c r="I282" s="220"/>
    </row>
    <row r="283" spans="1:9" s="112" customFormat="1">
      <c r="A283" s="216"/>
      <c r="B283" s="217"/>
      <c r="C283" s="218"/>
      <c r="D283" s="219"/>
      <c r="E283" s="220"/>
      <c r="F283" s="221"/>
      <c r="G283" s="222"/>
      <c r="I283" s="220"/>
    </row>
    <row r="284" spans="1:9" s="112" customFormat="1">
      <c r="A284" s="216"/>
      <c r="B284" s="217"/>
      <c r="C284" s="218"/>
      <c r="D284" s="219"/>
      <c r="E284" s="220"/>
      <c r="F284" s="221"/>
      <c r="G284" s="222"/>
      <c r="I284" s="220"/>
    </row>
    <row r="285" spans="1:9" s="112" customFormat="1">
      <c r="A285" s="216"/>
      <c r="B285" s="217"/>
      <c r="C285" s="218"/>
      <c r="D285" s="219"/>
      <c r="E285" s="220"/>
      <c r="F285" s="221"/>
      <c r="G285" s="222"/>
      <c r="I285" s="220"/>
    </row>
    <row r="286" spans="1:9" s="112" customFormat="1">
      <c r="A286" s="216"/>
      <c r="B286" s="217"/>
      <c r="C286" s="218"/>
      <c r="D286" s="219"/>
      <c r="E286" s="220"/>
      <c r="F286" s="221"/>
      <c r="G286" s="222"/>
      <c r="I286" s="220"/>
    </row>
    <row r="287" spans="1:9" s="112" customFormat="1">
      <c r="A287" s="216"/>
      <c r="B287" s="217"/>
      <c r="C287" s="218"/>
      <c r="D287" s="219"/>
      <c r="E287" s="220"/>
      <c r="F287" s="221"/>
      <c r="G287" s="222"/>
      <c r="I287" s="220"/>
    </row>
    <row r="288" spans="1:9" s="112" customFormat="1">
      <c r="A288" s="216"/>
      <c r="B288" s="217"/>
      <c r="C288" s="218"/>
      <c r="D288" s="219"/>
      <c r="E288" s="220"/>
      <c r="F288" s="221"/>
      <c r="G288" s="222"/>
      <c r="I288" s="220"/>
    </row>
    <row r="289" spans="1:9" s="112" customFormat="1">
      <c r="A289" s="216"/>
      <c r="B289" s="217"/>
      <c r="C289" s="218"/>
      <c r="D289" s="219"/>
      <c r="E289" s="220"/>
      <c r="F289" s="221"/>
      <c r="G289" s="222"/>
      <c r="I289" s="220"/>
    </row>
    <row r="290" spans="1:9" s="112" customFormat="1">
      <c r="A290" s="216"/>
      <c r="B290" s="217"/>
      <c r="C290" s="218"/>
      <c r="D290" s="219"/>
      <c r="E290" s="220"/>
      <c r="F290" s="221"/>
      <c r="G290" s="222"/>
      <c r="I290" s="220"/>
    </row>
    <row r="291" spans="1:9" s="112" customFormat="1">
      <c r="A291" s="216"/>
      <c r="B291" s="217"/>
      <c r="C291" s="218"/>
      <c r="D291" s="219"/>
      <c r="E291" s="220"/>
      <c r="F291" s="221"/>
      <c r="G291" s="222"/>
      <c r="I291" s="220"/>
    </row>
    <row r="292" spans="1:9" s="112" customFormat="1">
      <c r="A292" s="216"/>
      <c r="B292" s="217"/>
      <c r="C292" s="218"/>
      <c r="D292" s="219"/>
      <c r="E292" s="220"/>
      <c r="F292" s="221"/>
      <c r="G292" s="222"/>
      <c r="I292" s="220"/>
    </row>
    <row r="293" spans="1:9" s="112" customFormat="1">
      <c r="A293" s="216"/>
      <c r="B293" s="217"/>
      <c r="C293" s="218"/>
      <c r="D293" s="219"/>
      <c r="E293" s="220"/>
      <c r="F293" s="221"/>
      <c r="G293" s="222"/>
      <c r="I293" s="220"/>
    </row>
    <row r="294" spans="1:9" s="112" customFormat="1">
      <c r="A294" s="216"/>
      <c r="B294" s="217"/>
      <c r="C294" s="218"/>
      <c r="D294" s="219"/>
      <c r="E294" s="220"/>
      <c r="F294" s="221"/>
      <c r="G294" s="222"/>
      <c r="I294" s="220"/>
    </row>
    <row r="295" spans="1:9" s="112" customFormat="1">
      <c r="A295" s="216"/>
      <c r="B295" s="217"/>
      <c r="C295" s="218"/>
      <c r="D295" s="219"/>
      <c r="E295" s="220"/>
      <c r="F295" s="221"/>
      <c r="G295" s="222"/>
      <c r="I295" s="220"/>
    </row>
    <row r="296" spans="1:9" s="112" customFormat="1">
      <c r="A296" s="216"/>
      <c r="B296" s="217"/>
      <c r="C296" s="218"/>
      <c r="D296" s="219"/>
      <c r="E296" s="220"/>
      <c r="F296" s="221"/>
      <c r="G296" s="222"/>
      <c r="I296" s="220"/>
    </row>
    <row r="297" spans="1:9" s="112" customFormat="1">
      <c r="A297" s="216"/>
      <c r="B297" s="217"/>
      <c r="C297" s="218"/>
      <c r="D297" s="219"/>
      <c r="E297" s="220"/>
      <c r="F297" s="221"/>
      <c r="G297" s="222"/>
      <c r="I297" s="220"/>
    </row>
    <row r="298" spans="1:9" s="112" customFormat="1">
      <c r="A298" s="216"/>
      <c r="B298" s="217"/>
      <c r="C298" s="218"/>
      <c r="D298" s="219"/>
      <c r="E298" s="220"/>
      <c r="F298" s="221"/>
      <c r="G298" s="222"/>
      <c r="I298" s="220"/>
    </row>
    <row r="299" spans="1:9" s="112" customFormat="1">
      <c r="A299" s="216"/>
      <c r="B299" s="217"/>
      <c r="C299" s="218"/>
      <c r="D299" s="219"/>
      <c r="E299" s="220"/>
      <c r="F299" s="221"/>
      <c r="G299" s="222"/>
      <c r="I299" s="220"/>
    </row>
    <row r="300" spans="1:9" s="112" customFormat="1">
      <c r="A300" s="216"/>
      <c r="B300" s="217"/>
      <c r="C300" s="218"/>
      <c r="D300" s="219"/>
      <c r="E300" s="220"/>
      <c r="F300" s="221"/>
      <c r="G300" s="222"/>
      <c r="I300" s="220"/>
    </row>
    <row r="301" spans="1:9" s="112" customFormat="1">
      <c r="A301" s="216"/>
      <c r="B301" s="217"/>
      <c r="C301" s="218"/>
      <c r="D301" s="219"/>
      <c r="E301" s="220"/>
      <c r="F301" s="221"/>
      <c r="G301" s="222"/>
      <c r="I301" s="220"/>
    </row>
    <row r="302" spans="1:9" s="112" customFormat="1">
      <c r="A302" s="216"/>
      <c r="B302" s="217"/>
      <c r="C302" s="218"/>
      <c r="D302" s="219"/>
      <c r="E302" s="220"/>
      <c r="F302" s="221"/>
      <c r="G302" s="222"/>
      <c r="I302" s="220"/>
    </row>
    <row r="303" spans="1:9" s="112" customFormat="1">
      <c r="A303" s="216"/>
      <c r="B303" s="217"/>
      <c r="C303" s="218"/>
      <c r="D303" s="219"/>
      <c r="E303" s="220"/>
      <c r="F303" s="221"/>
      <c r="G303" s="222"/>
      <c r="I303" s="220"/>
    </row>
    <row r="304" spans="1:9" s="112" customFormat="1">
      <c r="A304" s="216"/>
      <c r="B304" s="217"/>
      <c r="C304" s="218"/>
      <c r="D304" s="219"/>
      <c r="E304" s="220"/>
      <c r="F304" s="221"/>
      <c r="G304" s="222"/>
      <c r="I304" s="220"/>
    </row>
    <row r="305" spans="1:9" s="112" customFormat="1">
      <c r="A305" s="216"/>
      <c r="B305" s="217"/>
      <c r="C305" s="218"/>
      <c r="D305" s="219"/>
      <c r="E305" s="220"/>
      <c r="F305" s="221"/>
      <c r="G305" s="222"/>
      <c r="I305" s="220"/>
    </row>
    <row r="306" spans="1:9" s="112" customFormat="1">
      <c r="A306" s="216"/>
      <c r="B306" s="217"/>
      <c r="C306" s="218"/>
      <c r="D306" s="219"/>
      <c r="E306" s="220"/>
      <c r="F306" s="221"/>
      <c r="G306" s="222"/>
      <c r="I306" s="220"/>
    </row>
    <row r="307" spans="1:9" s="112" customFormat="1">
      <c r="A307" s="216"/>
      <c r="B307" s="217"/>
      <c r="C307" s="218"/>
      <c r="D307" s="219"/>
      <c r="E307" s="220"/>
      <c r="F307" s="221"/>
      <c r="G307" s="222"/>
      <c r="I307" s="220"/>
    </row>
    <row r="308" spans="1:9" s="112" customFormat="1">
      <c r="A308" s="216"/>
      <c r="B308" s="217"/>
      <c r="C308" s="218"/>
      <c r="D308" s="219"/>
      <c r="E308" s="220"/>
      <c r="F308" s="221"/>
      <c r="G308" s="222"/>
      <c r="I308" s="220"/>
    </row>
    <row r="309" spans="1:9" s="112" customFormat="1">
      <c r="A309" s="216"/>
      <c r="B309" s="217"/>
      <c r="C309" s="218"/>
      <c r="D309" s="219"/>
      <c r="E309" s="220"/>
      <c r="F309" s="221"/>
      <c r="G309" s="222"/>
      <c r="I309" s="220"/>
    </row>
    <row r="310" spans="1:9" s="112" customFormat="1">
      <c r="A310" s="216"/>
      <c r="B310" s="217"/>
      <c r="C310" s="218"/>
      <c r="D310" s="219"/>
      <c r="E310" s="220"/>
      <c r="F310" s="221"/>
      <c r="G310" s="222"/>
      <c r="I310" s="220"/>
    </row>
    <row r="311" spans="1:9" s="112" customFormat="1">
      <c r="A311" s="216"/>
      <c r="B311" s="217"/>
      <c r="C311" s="218"/>
      <c r="D311" s="219"/>
      <c r="E311" s="220"/>
      <c r="F311" s="221"/>
      <c r="G311" s="222"/>
      <c r="I311" s="220"/>
    </row>
    <row r="312" spans="1:9" s="112" customFormat="1">
      <c r="A312" s="216"/>
      <c r="B312" s="217"/>
      <c r="C312" s="218"/>
      <c r="D312" s="219"/>
      <c r="E312" s="220"/>
      <c r="F312" s="221"/>
      <c r="G312" s="222"/>
      <c r="I312" s="220"/>
    </row>
    <row r="313" spans="1:9" s="112" customFormat="1">
      <c r="A313" s="216"/>
      <c r="B313" s="217"/>
      <c r="C313" s="218"/>
      <c r="D313" s="219"/>
      <c r="E313" s="220"/>
      <c r="F313" s="221"/>
      <c r="G313" s="222"/>
      <c r="I313" s="220"/>
    </row>
    <row r="314" spans="1:9" s="112" customFormat="1">
      <c r="A314" s="216"/>
      <c r="B314" s="217"/>
      <c r="C314" s="218"/>
      <c r="D314" s="219"/>
      <c r="E314" s="220"/>
      <c r="F314" s="221"/>
      <c r="G314" s="222"/>
      <c r="I314" s="220"/>
    </row>
    <row r="315" spans="1:9" s="112" customFormat="1">
      <c r="A315" s="216"/>
      <c r="B315" s="217"/>
      <c r="C315" s="218"/>
      <c r="D315" s="219"/>
      <c r="E315" s="220"/>
      <c r="F315" s="221"/>
      <c r="G315" s="222"/>
      <c r="I315" s="220"/>
    </row>
    <row r="316" spans="1:9" s="112" customFormat="1">
      <c r="A316" s="216"/>
      <c r="B316" s="217"/>
      <c r="C316" s="218"/>
      <c r="D316" s="219"/>
      <c r="E316" s="220"/>
      <c r="F316" s="221"/>
      <c r="G316" s="222"/>
      <c r="I316" s="220"/>
    </row>
    <row r="317" spans="1:9" s="112" customFormat="1">
      <c r="A317" s="216"/>
      <c r="B317" s="217"/>
      <c r="C317" s="218"/>
      <c r="D317" s="219"/>
      <c r="E317" s="220"/>
      <c r="F317" s="221"/>
      <c r="G317" s="222"/>
      <c r="I317" s="220"/>
    </row>
    <row r="318" spans="1:9" s="112" customFormat="1">
      <c r="A318" s="216"/>
      <c r="B318" s="217"/>
      <c r="C318" s="218"/>
      <c r="D318" s="219"/>
      <c r="E318" s="220"/>
      <c r="F318" s="221"/>
      <c r="G318" s="222"/>
      <c r="I318" s="220"/>
    </row>
    <row r="319" spans="1:9" s="112" customFormat="1">
      <c r="A319" s="216"/>
      <c r="B319" s="217"/>
      <c r="C319" s="218"/>
      <c r="D319" s="219"/>
      <c r="E319" s="220"/>
      <c r="F319" s="221"/>
      <c r="G319" s="222"/>
      <c r="I319" s="220"/>
    </row>
    <row r="320" spans="1:9" s="112" customFormat="1">
      <c r="A320" s="216"/>
      <c r="B320" s="217"/>
      <c r="C320" s="218"/>
      <c r="D320" s="219"/>
      <c r="E320" s="220"/>
      <c r="F320" s="221"/>
      <c r="G320" s="222"/>
      <c r="I320" s="220"/>
    </row>
    <row r="321" spans="1:9" s="112" customFormat="1">
      <c r="A321" s="216"/>
      <c r="B321" s="217"/>
      <c r="C321" s="218"/>
      <c r="D321" s="219"/>
      <c r="E321" s="220"/>
      <c r="F321" s="221"/>
      <c r="G321" s="222"/>
      <c r="I321" s="220"/>
    </row>
    <row r="322" spans="1:9" s="112" customFormat="1">
      <c r="A322" s="216"/>
      <c r="B322" s="217"/>
      <c r="C322" s="218"/>
      <c r="D322" s="219"/>
      <c r="E322" s="220"/>
      <c r="F322" s="221"/>
      <c r="G322" s="222"/>
      <c r="I322" s="220"/>
    </row>
    <row r="323" spans="1:9" s="112" customFormat="1">
      <c r="A323" s="216"/>
      <c r="B323" s="217"/>
      <c r="C323" s="218"/>
      <c r="D323" s="219"/>
      <c r="E323" s="220"/>
      <c r="F323" s="221"/>
      <c r="G323" s="222"/>
      <c r="I323" s="220"/>
    </row>
    <row r="324" spans="1:9" s="112" customFormat="1">
      <c r="A324" s="216"/>
      <c r="B324" s="217"/>
      <c r="C324" s="218"/>
      <c r="D324" s="219"/>
      <c r="E324" s="220"/>
      <c r="F324" s="221"/>
      <c r="G324" s="222"/>
      <c r="I324" s="220"/>
    </row>
    <row r="325" spans="1:9" s="112" customFormat="1">
      <c r="A325" s="216"/>
      <c r="B325" s="217"/>
      <c r="C325" s="218"/>
      <c r="D325" s="219"/>
      <c r="E325" s="220"/>
      <c r="F325" s="221"/>
      <c r="G325" s="222"/>
      <c r="I325" s="220"/>
    </row>
    <row r="326" spans="1:9" s="112" customFormat="1">
      <c r="A326" s="216"/>
      <c r="B326" s="217"/>
      <c r="C326" s="218"/>
      <c r="D326" s="219"/>
      <c r="E326" s="220"/>
      <c r="F326" s="221"/>
      <c r="G326" s="222"/>
      <c r="I326" s="220"/>
    </row>
    <row r="327" spans="1:9" s="112" customFormat="1">
      <c r="A327" s="216"/>
      <c r="B327" s="217"/>
      <c r="C327" s="218"/>
      <c r="D327" s="219"/>
      <c r="E327" s="220"/>
      <c r="F327" s="221"/>
      <c r="G327" s="222"/>
      <c r="I327" s="220"/>
    </row>
    <row r="328" spans="1:9" s="112" customFormat="1">
      <c r="A328" s="216"/>
      <c r="B328" s="217"/>
      <c r="C328" s="218"/>
      <c r="D328" s="219"/>
      <c r="E328" s="220"/>
      <c r="F328" s="221"/>
      <c r="G328" s="222"/>
      <c r="I328" s="220"/>
    </row>
    <row r="329" spans="1:9" s="112" customFormat="1">
      <c r="A329" s="216"/>
      <c r="B329" s="217"/>
      <c r="C329" s="218"/>
      <c r="D329" s="219"/>
      <c r="E329" s="220"/>
      <c r="F329" s="221"/>
      <c r="G329" s="222"/>
      <c r="I329" s="220"/>
    </row>
    <row r="330" spans="1:9" s="112" customFormat="1">
      <c r="A330" s="216"/>
      <c r="B330" s="217"/>
      <c r="C330" s="218"/>
      <c r="D330" s="219"/>
      <c r="E330" s="220"/>
      <c r="F330" s="221"/>
      <c r="G330" s="222"/>
      <c r="I330" s="220"/>
    </row>
    <row r="331" spans="1:9" s="112" customFormat="1">
      <c r="A331" s="216"/>
      <c r="B331" s="217"/>
      <c r="C331" s="218"/>
      <c r="D331" s="219"/>
      <c r="E331" s="220"/>
      <c r="F331" s="221"/>
      <c r="G331" s="222"/>
      <c r="I331" s="220"/>
    </row>
    <row r="332" spans="1:9" s="112" customFormat="1">
      <c r="A332" s="216"/>
      <c r="B332" s="217"/>
      <c r="C332" s="218"/>
      <c r="D332" s="219"/>
      <c r="E332" s="220"/>
      <c r="F332" s="221"/>
      <c r="G332" s="222"/>
      <c r="I332" s="220"/>
    </row>
    <row r="333" spans="1:9" s="112" customFormat="1">
      <c r="A333" s="216"/>
      <c r="B333" s="217"/>
      <c r="C333" s="218"/>
      <c r="D333" s="219"/>
      <c r="E333" s="220"/>
      <c r="F333" s="221"/>
      <c r="G333" s="222"/>
      <c r="I333" s="220"/>
    </row>
    <row r="334" spans="1:9" s="112" customFormat="1">
      <c r="A334" s="216"/>
      <c r="B334" s="217"/>
      <c r="C334" s="218"/>
      <c r="D334" s="219"/>
      <c r="E334" s="220"/>
      <c r="F334" s="221"/>
      <c r="G334" s="222"/>
      <c r="I334" s="220"/>
    </row>
    <row r="335" spans="1:9" s="112" customFormat="1">
      <c r="A335" s="216"/>
      <c r="B335" s="217"/>
      <c r="C335" s="218"/>
      <c r="D335" s="219"/>
      <c r="E335" s="220"/>
      <c r="F335" s="221"/>
      <c r="G335" s="222"/>
      <c r="I335" s="220"/>
    </row>
    <row r="336" spans="1:9" s="112" customFormat="1">
      <c r="A336" s="216"/>
      <c r="B336" s="217"/>
      <c r="C336" s="218"/>
      <c r="D336" s="219"/>
      <c r="E336" s="220"/>
      <c r="F336" s="221"/>
      <c r="G336" s="222"/>
      <c r="I336" s="220"/>
    </row>
    <row r="337" spans="1:9" s="112" customFormat="1">
      <c r="A337" s="216"/>
      <c r="B337" s="217"/>
      <c r="C337" s="218"/>
      <c r="D337" s="219"/>
      <c r="E337" s="220"/>
      <c r="F337" s="221"/>
      <c r="G337" s="222"/>
      <c r="I337" s="220"/>
    </row>
    <row r="338" spans="1:9" s="112" customFormat="1">
      <c r="A338" s="216"/>
      <c r="B338" s="217"/>
      <c r="C338" s="218"/>
      <c r="D338" s="219"/>
      <c r="E338" s="220"/>
      <c r="F338" s="221"/>
      <c r="G338" s="222"/>
      <c r="I338" s="220"/>
    </row>
    <row r="339" spans="1:9" s="112" customFormat="1">
      <c r="A339" s="216"/>
      <c r="B339" s="217"/>
      <c r="C339" s="218"/>
      <c r="D339" s="219"/>
      <c r="E339" s="220"/>
      <c r="F339" s="221"/>
      <c r="G339" s="222"/>
      <c r="I339" s="220"/>
    </row>
    <row r="340" spans="1:9" s="112" customFormat="1">
      <c r="A340" s="216"/>
      <c r="B340" s="217"/>
      <c r="C340" s="218"/>
      <c r="D340" s="219"/>
      <c r="E340" s="220"/>
      <c r="F340" s="221"/>
      <c r="G340" s="222"/>
      <c r="I340" s="220"/>
    </row>
    <row r="341" spans="1:9" s="112" customFormat="1">
      <c r="A341" s="216"/>
      <c r="B341" s="217"/>
      <c r="C341" s="218"/>
      <c r="D341" s="219"/>
      <c r="E341" s="220"/>
      <c r="F341" s="221"/>
      <c r="G341" s="222"/>
      <c r="I341" s="220"/>
    </row>
    <row r="342" spans="1:9" s="112" customFormat="1">
      <c r="A342" s="216"/>
      <c r="B342" s="217"/>
      <c r="C342" s="218"/>
      <c r="D342" s="219"/>
      <c r="E342" s="220"/>
      <c r="F342" s="221"/>
      <c r="G342" s="222"/>
      <c r="I342" s="220"/>
    </row>
    <row r="343" spans="1:9" s="112" customFormat="1">
      <c r="A343" s="216"/>
      <c r="B343" s="217"/>
      <c r="C343" s="218"/>
      <c r="D343" s="219"/>
      <c r="E343" s="220"/>
      <c r="F343" s="221"/>
      <c r="G343" s="222"/>
      <c r="I343" s="220"/>
    </row>
    <row r="344" spans="1:9" s="112" customFormat="1">
      <c r="A344" s="216"/>
      <c r="B344" s="217"/>
      <c r="C344" s="218"/>
      <c r="D344" s="219"/>
      <c r="E344" s="220"/>
      <c r="F344" s="221"/>
      <c r="G344" s="222"/>
      <c r="I344" s="220"/>
    </row>
    <row r="345" spans="1:9" s="112" customFormat="1">
      <c r="A345" s="216"/>
      <c r="B345" s="217"/>
      <c r="C345" s="218"/>
      <c r="D345" s="219"/>
      <c r="E345" s="220"/>
      <c r="F345" s="221"/>
      <c r="G345" s="222"/>
      <c r="I345" s="220"/>
    </row>
    <row r="346" spans="1:9" s="112" customFormat="1">
      <c r="A346" s="216"/>
      <c r="B346" s="217"/>
      <c r="C346" s="218"/>
      <c r="D346" s="219"/>
      <c r="E346" s="220"/>
      <c r="F346" s="221"/>
      <c r="G346" s="222"/>
      <c r="I346" s="220"/>
    </row>
    <row r="347" spans="1:9" s="112" customFormat="1">
      <c r="A347" s="216"/>
      <c r="B347" s="217"/>
      <c r="C347" s="218"/>
      <c r="D347" s="219"/>
      <c r="E347" s="220"/>
      <c r="F347" s="221"/>
      <c r="G347" s="222"/>
      <c r="I347" s="220"/>
    </row>
    <row r="348" spans="1:9" s="112" customFormat="1">
      <c r="A348" s="216"/>
      <c r="B348" s="217"/>
      <c r="C348" s="218"/>
      <c r="D348" s="219"/>
      <c r="E348" s="220"/>
      <c r="F348" s="221"/>
      <c r="G348" s="222"/>
      <c r="I348" s="220"/>
    </row>
    <row r="349" spans="1:9" s="112" customFormat="1">
      <c r="A349" s="216"/>
      <c r="B349" s="217"/>
      <c r="C349" s="218"/>
      <c r="D349" s="219"/>
      <c r="E349" s="220"/>
      <c r="F349" s="221"/>
      <c r="G349" s="222"/>
      <c r="I349" s="220"/>
    </row>
    <row r="350" spans="1:9" s="112" customFormat="1">
      <c r="A350" s="216"/>
      <c r="B350" s="217"/>
      <c r="C350" s="218"/>
      <c r="D350" s="219"/>
      <c r="E350" s="220"/>
      <c r="F350" s="221"/>
      <c r="G350" s="222"/>
      <c r="I350" s="220"/>
    </row>
    <row r="351" spans="1:9" s="112" customFormat="1">
      <c r="A351" s="216"/>
      <c r="B351" s="217"/>
      <c r="C351" s="218"/>
      <c r="D351" s="219"/>
      <c r="E351" s="220"/>
      <c r="F351" s="221"/>
      <c r="G351" s="222"/>
      <c r="I351" s="220"/>
    </row>
    <row r="352" spans="1:9" s="112" customFormat="1">
      <c r="A352" s="216"/>
      <c r="B352" s="217"/>
      <c r="C352" s="218"/>
      <c r="D352" s="219"/>
      <c r="E352" s="220"/>
      <c r="F352" s="221"/>
      <c r="G352" s="222"/>
      <c r="I352" s="220"/>
    </row>
    <row r="353" spans="1:9" s="112" customFormat="1">
      <c r="A353" s="216"/>
      <c r="B353" s="217"/>
      <c r="C353" s="218"/>
      <c r="D353" s="219"/>
      <c r="E353" s="220"/>
      <c r="F353" s="221"/>
      <c r="G353" s="222"/>
      <c r="I353" s="220"/>
    </row>
    <row r="354" spans="1:9" s="112" customFormat="1">
      <c r="A354" s="216"/>
      <c r="B354" s="217"/>
      <c r="C354" s="218"/>
      <c r="D354" s="219"/>
      <c r="E354" s="220"/>
      <c r="F354" s="221"/>
      <c r="G354" s="222"/>
      <c r="I354" s="220"/>
    </row>
    <row r="355" spans="1:9" s="112" customFormat="1">
      <c r="A355" s="216"/>
      <c r="B355" s="217"/>
      <c r="C355" s="218"/>
      <c r="D355" s="219"/>
      <c r="E355" s="220"/>
      <c r="F355" s="221"/>
      <c r="G355" s="222"/>
      <c r="I355" s="220"/>
    </row>
    <row r="356" spans="1:9" s="112" customFormat="1">
      <c r="A356" s="216"/>
      <c r="B356" s="217"/>
      <c r="C356" s="218"/>
      <c r="D356" s="219"/>
      <c r="E356" s="220"/>
      <c r="F356" s="221"/>
      <c r="G356" s="222"/>
      <c r="I356" s="220"/>
    </row>
    <row r="357" spans="1:9" s="112" customFormat="1">
      <c r="A357" s="216"/>
      <c r="B357" s="217"/>
      <c r="C357" s="218"/>
      <c r="D357" s="219"/>
      <c r="E357" s="220"/>
      <c r="F357" s="221"/>
      <c r="G357" s="222"/>
      <c r="I357" s="220"/>
    </row>
    <row r="358" spans="1:9" s="112" customFormat="1">
      <c r="A358" s="216"/>
      <c r="B358" s="217"/>
      <c r="C358" s="218"/>
      <c r="D358" s="219"/>
      <c r="E358" s="220"/>
      <c r="F358" s="221"/>
      <c r="G358" s="222"/>
      <c r="I358" s="220"/>
    </row>
    <row r="359" spans="1:9" s="112" customFormat="1">
      <c r="A359" s="216"/>
      <c r="B359" s="217"/>
      <c r="C359" s="218"/>
      <c r="D359" s="219"/>
      <c r="E359" s="220"/>
      <c r="F359" s="221"/>
      <c r="G359" s="222"/>
      <c r="I359" s="220"/>
    </row>
    <row r="360" spans="1:9" s="112" customFormat="1">
      <c r="A360" s="216"/>
      <c r="B360" s="217"/>
      <c r="C360" s="218"/>
      <c r="D360" s="219"/>
      <c r="E360" s="220"/>
      <c r="F360" s="221"/>
      <c r="G360" s="222"/>
      <c r="I360" s="220"/>
    </row>
    <row r="361" spans="1:9" s="112" customFormat="1">
      <c r="A361" s="216"/>
      <c r="B361" s="217"/>
      <c r="C361" s="218"/>
      <c r="D361" s="219"/>
      <c r="E361" s="220"/>
      <c r="F361" s="221"/>
      <c r="G361" s="222"/>
      <c r="I361" s="220"/>
    </row>
    <row r="362" spans="1:9" s="112" customFormat="1">
      <c r="A362" s="216"/>
      <c r="B362" s="217"/>
      <c r="C362" s="218"/>
      <c r="D362" s="219"/>
      <c r="E362" s="220"/>
      <c r="F362" s="221"/>
      <c r="G362" s="222"/>
      <c r="I362" s="220"/>
    </row>
    <row r="363" spans="1:9" s="112" customFormat="1">
      <c r="A363" s="216"/>
      <c r="B363" s="217"/>
      <c r="C363" s="218"/>
      <c r="D363" s="219"/>
      <c r="E363" s="220"/>
      <c r="F363" s="221"/>
      <c r="G363" s="222"/>
      <c r="I363" s="220"/>
    </row>
    <row r="364" spans="1:9" s="112" customFormat="1">
      <c r="A364" s="216"/>
      <c r="B364" s="217"/>
      <c r="C364" s="218"/>
      <c r="D364" s="219"/>
      <c r="E364" s="220"/>
      <c r="F364" s="221"/>
      <c r="G364" s="222"/>
      <c r="I364" s="220"/>
    </row>
    <row r="365" spans="1:9" s="112" customFormat="1">
      <c r="A365" s="216"/>
      <c r="B365" s="217"/>
      <c r="C365" s="218"/>
      <c r="D365" s="219"/>
      <c r="E365" s="220"/>
      <c r="F365" s="221"/>
      <c r="G365" s="222"/>
      <c r="I365" s="220"/>
    </row>
    <row r="366" spans="1:9" s="112" customFormat="1">
      <c r="A366" s="216"/>
      <c r="B366" s="217"/>
      <c r="C366" s="218"/>
      <c r="D366" s="219"/>
      <c r="E366" s="220"/>
      <c r="F366" s="221"/>
      <c r="G366" s="222"/>
      <c r="I366" s="220"/>
    </row>
    <row r="367" spans="1:9" s="112" customFormat="1">
      <c r="A367" s="216"/>
      <c r="B367" s="217"/>
      <c r="C367" s="218"/>
      <c r="D367" s="219"/>
      <c r="E367" s="220"/>
      <c r="F367" s="221"/>
      <c r="G367" s="222"/>
      <c r="I367" s="220"/>
    </row>
    <row r="368" spans="1:9" s="112" customFormat="1">
      <c r="A368" s="216"/>
      <c r="B368" s="217"/>
      <c r="C368" s="218"/>
      <c r="D368" s="219"/>
      <c r="E368" s="220"/>
      <c r="F368" s="221"/>
      <c r="G368" s="222"/>
      <c r="I368" s="220"/>
    </row>
    <row r="369" spans="1:9" s="112" customFormat="1">
      <c r="A369" s="216"/>
      <c r="B369" s="217"/>
      <c r="C369" s="218"/>
      <c r="D369" s="219"/>
      <c r="E369" s="220"/>
      <c r="F369" s="221"/>
      <c r="G369" s="222"/>
      <c r="I369" s="220"/>
    </row>
    <row r="370" spans="1:9" s="112" customFormat="1">
      <c r="A370" s="216"/>
      <c r="B370" s="217"/>
      <c r="C370" s="218"/>
      <c r="D370" s="219"/>
      <c r="E370" s="220"/>
      <c r="F370" s="221"/>
      <c r="G370" s="222"/>
      <c r="I370" s="220"/>
    </row>
    <row r="371" spans="1:9" s="112" customFormat="1">
      <c r="A371" s="216"/>
      <c r="B371" s="217"/>
      <c r="C371" s="218"/>
      <c r="D371" s="219"/>
      <c r="E371" s="220"/>
      <c r="F371" s="221"/>
      <c r="G371" s="222"/>
      <c r="I371" s="220"/>
    </row>
    <row r="372" spans="1:9" s="112" customFormat="1">
      <c r="A372" s="216"/>
      <c r="B372" s="217"/>
      <c r="C372" s="218"/>
      <c r="D372" s="219"/>
      <c r="E372" s="220"/>
      <c r="F372" s="221"/>
      <c r="G372" s="222"/>
      <c r="I372" s="220"/>
    </row>
    <row r="373" spans="1:9" s="112" customFormat="1">
      <c r="A373" s="216"/>
      <c r="B373" s="217"/>
      <c r="C373" s="218"/>
      <c r="D373" s="219"/>
      <c r="E373" s="220"/>
      <c r="F373" s="221"/>
      <c r="G373" s="222"/>
      <c r="I373" s="220"/>
    </row>
    <row r="374" spans="1:9" s="112" customFormat="1">
      <c r="A374" s="216"/>
      <c r="B374" s="217"/>
      <c r="C374" s="218"/>
      <c r="D374" s="219"/>
      <c r="E374" s="220"/>
      <c r="F374" s="221"/>
      <c r="G374" s="222"/>
      <c r="I374" s="220"/>
    </row>
    <row r="375" spans="1:9" s="112" customFormat="1">
      <c r="A375" s="216"/>
      <c r="B375" s="217"/>
      <c r="C375" s="218"/>
      <c r="D375" s="219"/>
      <c r="E375" s="220"/>
      <c r="F375" s="221"/>
      <c r="G375" s="222"/>
      <c r="I375" s="220"/>
    </row>
    <row r="376" spans="1:9" s="112" customFormat="1">
      <c r="A376" s="216"/>
      <c r="B376" s="217"/>
      <c r="C376" s="218"/>
      <c r="D376" s="219"/>
      <c r="E376" s="220"/>
      <c r="F376" s="221"/>
      <c r="G376" s="222"/>
      <c r="I376" s="220"/>
    </row>
    <row r="377" spans="1:9" s="112" customFormat="1">
      <c r="A377" s="216"/>
      <c r="B377" s="217"/>
      <c r="C377" s="218"/>
      <c r="D377" s="219"/>
      <c r="E377" s="220"/>
      <c r="F377" s="221"/>
      <c r="G377" s="222"/>
      <c r="I377" s="220"/>
    </row>
    <row r="378" spans="1:9" s="112" customFormat="1">
      <c r="A378" s="216"/>
      <c r="B378" s="217"/>
      <c r="C378" s="218"/>
      <c r="D378" s="219"/>
      <c r="E378" s="220"/>
      <c r="F378" s="221"/>
      <c r="G378" s="222"/>
      <c r="I378" s="220"/>
    </row>
    <row r="379" spans="1:9" s="112" customFormat="1">
      <c r="A379" s="216"/>
      <c r="B379" s="217"/>
      <c r="C379" s="218"/>
      <c r="D379" s="219"/>
      <c r="E379" s="220"/>
      <c r="F379" s="221"/>
      <c r="G379" s="222"/>
      <c r="I379" s="220"/>
    </row>
    <row r="380" spans="1:9" s="112" customFormat="1">
      <c r="A380" s="216"/>
      <c r="B380" s="217"/>
      <c r="C380" s="218"/>
      <c r="D380" s="219"/>
      <c r="E380" s="220"/>
      <c r="F380" s="221"/>
      <c r="G380" s="222"/>
      <c r="I380" s="220"/>
    </row>
    <row r="381" spans="1:9" s="112" customFormat="1">
      <c r="A381" s="216"/>
      <c r="B381" s="217"/>
      <c r="C381" s="218"/>
      <c r="D381" s="219"/>
      <c r="E381" s="220"/>
      <c r="F381" s="221"/>
      <c r="G381" s="222"/>
      <c r="I381" s="220"/>
    </row>
    <row r="382" spans="1:9" s="112" customFormat="1">
      <c r="A382" s="216"/>
      <c r="B382" s="217"/>
      <c r="C382" s="218"/>
      <c r="D382" s="219"/>
      <c r="E382" s="220"/>
      <c r="F382" s="221"/>
      <c r="G382" s="222"/>
      <c r="I382" s="220"/>
    </row>
    <row r="383" spans="1:9" s="112" customFormat="1">
      <c r="A383" s="216"/>
      <c r="B383" s="217"/>
      <c r="C383" s="218"/>
      <c r="D383" s="219"/>
      <c r="E383" s="220"/>
      <c r="F383" s="221"/>
      <c r="G383" s="222"/>
      <c r="I383" s="220"/>
    </row>
    <row r="384" spans="1:9" s="112" customFormat="1">
      <c r="A384" s="216"/>
      <c r="B384" s="217"/>
      <c r="C384" s="218"/>
      <c r="D384" s="219"/>
      <c r="E384" s="220"/>
      <c r="F384" s="221"/>
      <c r="G384" s="222"/>
      <c r="I384" s="220"/>
    </row>
    <row r="385" spans="1:9" s="112" customFormat="1">
      <c r="A385" s="216"/>
      <c r="B385" s="217"/>
      <c r="C385" s="218"/>
      <c r="D385" s="219"/>
      <c r="E385" s="220"/>
      <c r="F385" s="221"/>
      <c r="G385" s="222"/>
      <c r="I385" s="220"/>
    </row>
    <row r="386" spans="1:9" s="112" customFormat="1">
      <c r="A386" s="216"/>
      <c r="B386" s="217"/>
      <c r="C386" s="218"/>
      <c r="D386" s="219"/>
      <c r="E386" s="220"/>
      <c r="F386" s="221"/>
      <c r="G386" s="222"/>
      <c r="I386" s="220"/>
    </row>
    <row r="387" spans="1:9" s="112" customFormat="1">
      <c r="A387" s="216"/>
      <c r="B387" s="217"/>
      <c r="C387" s="218"/>
      <c r="D387" s="219"/>
      <c r="E387" s="220"/>
      <c r="F387" s="221"/>
      <c r="G387" s="222"/>
      <c r="I387" s="220"/>
    </row>
    <row r="388" spans="1:9" s="112" customFormat="1">
      <c r="A388" s="216"/>
      <c r="B388" s="217"/>
      <c r="C388" s="218"/>
      <c r="D388" s="219"/>
      <c r="E388" s="220"/>
      <c r="F388" s="221"/>
      <c r="G388" s="222"/>
      <c r="I388" s="220"/>
    </row>
    <row r="389" spans="1:9" s="112" customFormat="1">
      <c r="A389" s="216"/>
      <c r="B389" s="217"/>
      <c r="C389" s="218"/>
      <c r="D389" s="219"/>
      <c r="E389" s="220"/>
      <c r="F389" s="221"/>
      <c r="G389" s="222"/>
      <c r="I389" s="220"/>
    </row>
    <row r="390" spans="1:9" s="112" customFormat="1">
      <c r="A390" s="216"/>
      <c r="B390" s="217"/>
      <c r="C390" s="218"/>
      <c r="D390" s="219"/>
      <c r="E390" s="220"/>
      <c r="F390" s="221"/>
      <c r="G390" s="222"/>
      <c r="I390" s="220"/>
    </row>
    <row r="391" spans="1:9" s="112" customFormat="1">
      <c r="A391" s="216"/>
      <c r="B391" s="217"/>
      <c r="C391" s="218"/>
      <c r="D391" s="219"/>
      <c r="E391" s="220"/>
      <c r="F391" s="221"/>
      <c r="G391" s="222"/>
      <c r="I391" s="220"/>
    </row>
    <row r="392" spans="1:9" s="112" customFormat="1">
      <c r="A392" s="216"/>
      <c r="B392" s="217"/>
      <c r="C392" s="218"/>
      <c r="D392" s="219"/>
      <c r="E392" s="220"/>
      <c r="F392" s="221"/>
      <c r="G392" s="222"/>
      <c r="I392" s="220"/>
    </row>
    <row r="393" spans="1:9" s="112" customFormat="1">
      <c r="A393" s="216"/>
      <c r="B393" s="217"/>
      <c r="C393" s="218"/>
      <c r="D393" s="219"/>
      <c r="E393" s="220"/>
      <c r="F393" s="221"/>
      <c r="G393" s="222"/>
      <c r="I393" s="220"/>
    </row>
    <row r="394" spans="1:9" s="112" customFormat="1">
      <c r="A394" s="216"/>
      <c r="B394" s="217"/>
      <c r="C394" s="218"/>
      <c r="D394" s="219"/>
      <c r="E394" s="220"/>
      <c r="F394" s="221"/>
      <c r="G394" s="222"/>
      <c r="I394" s="220"/>
    </row>
    <row r="395" spans="1:9" s="112" customFormat="1">
      <c r="A395" s="216"/>
      <c r="B395" s="217"/>
      <c r="C395" s="218"/>
      <c r="D395" s="219"/>
      <c r="E395" s="220"/>
      <c r="F395" s="221"/>
      <c r="G395" s="222"/>
      <c r="I395" s="220"/>
    </row>
    <row r="396" spans="1:9" s="112" customFormat="1">
      <c r="A396" s="216"/>
      <c r="B396" s="217"/>
      <c r="C396" s="218"/>
      <c r="D396" s="219"/>
      <c r="E396" s="220"/>
      <c r="F396" s="221"/>
      <c r="G396" s="222"/>
      <c r="I396" s="220"/>
    </row>
    <row r="397" spans="1:9" s="112" customFormat="1">
      <c r="A397" s="216"/>
      <c r="B397" s="217"/>
      <c r="C397" s="218"/>
      <c r="D397" s="219"/>
      <c r="E397" s="220"/>
      <c r="F397" s="221"/>
      <c r="G397" s="222"/>
      <c r="I397" s="220"/>
    </row>
    <row r="398" spans="1:9" s="112" customFormat="1">
      <c r="A398" s="216"/>
      <c r="B398" s="217"/>
      <c r="C398" s="218"/>
      <c r="D398" s="219"/>
      <c r="E398" s="220"/>
      <c r="F398" s="221"/>
      <c r="G398" s="222"/>
      <c r="I398" s="220"/>
    </row>
    <row r="399" spans="1:9" s="112" customFormat="1">
      <c r="A399" s="216"/>
      <c r="B399" s="217"/>
      <c r="C399" s="218"/>
      <c r="D399" s="219"/>
      <c r="E399" s="220"/>
      <c r="F399" s="221"/>
      <c r="G399" s="222"/>
      <c r="I399" s="220"/>
    </row>
    <row r="400" spans="1:9" s="112" customFormat="1">
      <c r="A400" s="216"/>
      <c r="B400" s="217"/>
      <c r="C400" s="218"/>
      <c r="D400" s="219"/>
      <c r="E400" s="220"/>
      <c r="F400" s="221"/>
      <c r="G400" s="222"/>
      <c r="I400" s="220"/>
    </row>
    <row r="401" spans="1:9" s="112" customFormat="1">
      <c r="A401" s="216"/>
      <c r="B401" s="217"/>
      <c r="C401" s="218"/>
      <c r="D401" s="219"/>
      <c r="E401" s="220"/>
      <c r="F401" s="221"/>
      <c r="G401" s="222"/>
      <c r="I401" s="220"/>
    </row>
    <row r="402" spans="1:9" s="112" customFormat="1">
      <c r="A402" s="216"/>
      <c r="B402" s="217"/>
      <c r="C402" s="218"/>
      <c r="D402" s="219"/>
      <c r="E402" s="220"/>
      <c r="F402" s="221"/>
      <c r="G402" s="222"/>
      <c r="I402" s="220"/>
    </row>
    <row r="403" spans="1:9" s="112" customFormat="1">
      <c r="A403" s="216"/>
      <c r="B403" s="217"/>
      <c r="C403" s="218"/>
      <c r="D403" s="219"/>
      <c r="E403" s="220"/>
      <c r="F403" s="221"/>
      <c r="G403" s="222"/>
      <c r="I403" s="220"/>
    </row>
    <row r="404" spans="1:9" s="112" customFormat="1">
      <c r="A404" s="216"/>
      <c r="B404" s="217"/>
      <c r="C404" s="218"/>
      <c r="D404" s="219"/>
      <c r="E404" s="220"/>
      <c r="F404" s="221"/>
      <c r="G404" s="222"/>
      <c r="I404" s="220"/>
    </row>
    <row r="405" spans="1:9" s="112" customFormat="1">
      <c r="A405" s="216"/>
      <c r="B405" s="217"/>
      <c r="C405" s="218"/>
      <c r="D405" s="219"/>
      <c r="E405" s="220"/>
      <c r="F405" s="221"/>
      <c r="G405" s="222"/>
      <c r="I405" s="220"/>
    </row>
    <row r="406" spans="1:9" s="112" customFormat="1">
      <c r="A406" s="216"/>
      <c r="B406" s="217"/>
      <c r="C406" s="218"/>
      <c r="D406" s="219"/>
      <c r="E406" s="220"/>
      <c r="F406" s="221"/>
      <c r="G406" s="222"/>
      <c r="I406" s="220"/>
    </row>
    <row r="407" spans="1:9" s="112" customFormat="1">
      <c r="A407" s="216"/>
      <c r="B407" s="217"/>
      <c r="C407" s="218"/>
      <c r="D407" s="219"/>
      <c r="E407" s="220"/>
      <c r="F407" s="221"/>
      <c r="G407" s="222"/>
      <c r="I407" s="220"/>
    </row>
    <row r="408" spans="1:9" s="112" customFormat="1">
      <c r="A408" s="216"/>
      <c r="B408" s="217"/>
      <c r="C408" s="218"/>
      <c r="D408" s="219"/>
      <c r="E408" s="220"/>
      <c r="F408" s="221"/>
      <c r="G408" s="222"/>
      <c r="I408" s="220"/>
    </row>
    <row r="409" spans="1:9" s="112" customFormat="1">
      <c r="A409" s="216"/>
      <c r="B409" s="217"/>
      <c r="C409" s="218"/>
      <c r="D409" s="219"/>
      <c r="E409" s="220"/>
      <c r="F409" s="221"/>
      <c r="G409" s="222"/>
      <c r="I409" s="220"/>
    </row>
    <row r="410" spans="1:9" s="112" customFormat="1">
      <c r="A410" s="216"/>
      <c r="B410" s="217"/>
      <c r="C410" s="218"/>
      <c r="D410" s="219"/>
      <c r="E410" s="220"/>
      <c r="F410" s="221"/>
      <c r="G410" s="222"/>
      <c r="I410" s="220"/>
    </row>
    <row r="411" spans="1:9" s="112" customFormat="1">
      <c r="A411" s="216"/>
      <c r="B411" s="217"/>
      <c r="C411" s="218"/>
      <c r="D411" s="219"/>
      <c r="E411" s="220"/>
      <c r="F411" s="221"/>
      <c r="G411" s="222"/>
      <c r="I411" s="220"/>
    </row>
    <row r="412" spans="1:9" s="112" customFormat="1">
      <c r="A412" s="216"/>
      <c r="B412" s="217"/>
      <c r="C412" s="218"/>
      <c r="D412" s="219"/>
      <c r="E412" s="220"/>
      <c r="F412" s="221"/>
      <c r="G412" s="222"/>
      <c r="I412" s="220"/>
    </row>
    <row r="413" spans="1:9" s="112" customFormat="1">
      <c r="A413" s="216"/>
      <c r="B413" s="217"/>
      <c r="C413" s="218"/>
      <c r="D413" s="219"/>
      <c r="E413" s="220"/>
      <c r="F413" s="221"/>
      <c r="G413" s="222"/>
      <c r="I413" s="220"/>
    </row>
    <row r="414" spans="1:9" s="112" customFormat="1">
      <c r="A414" s="216"/>
      <c r="B414" s="217"/>
      <c r="C414" s="218"/>
      <c r="D414" s="219"/>
      <c r="E414" s="220"/>
      <c r="F414" s="221"/>
      <c r="G414" s="222"/>
      <c r="I414" s="220"/>
    </row>
    <row r="415" spans="1:9" s="112" customFormat="1">
      <c r="A415" s="216"/>
      <c r="B415" s="217"/>
      <c r="C415" s="218"/>
      <c r="D415" s="219"/>
      <c r="E415" s="220"/>
      <c r="F415" s="221"/>
      <c r="G415" s="222"/>
      <c r="I415" s="220"/>
    </row>
    <row r="416" spans="1:9" s="112" customFormat="1">
      <c r="A416" s="216"/>
      <c r="B416" s="217"/>
      <c r="C416" s="218"/>
      <c r="D416" s="219"/>
      <c r="E416" s="220"/>
      <c r="F416" s="221"/>
      <c r="G416" s="222"/>
      <c r="I416" s="220"/>
    </row>
    <row r="417" spans="1:9" s="112" customFormat="1">
      <c r="A417" s="216"/>
      <c r="B417" s="217"/>
      <c r="C417" s="218"/>
      <c r="D417" s="219"/>
      <c r="E417" s="220"/>
      <c r="F417" s="221"/>
      <c r="G417" s="222"/>
      <c r="I417" s="220"/>
    </row>
    <row r="418" spans="1:9" s="112" customFormat="1">
      <c r="A418" s="216"/>
      <c r="B418" s="217"/>
      <c r="C418" s="218"/>
      <c r="D418" s="219"/>
      <c r="E418" s="220"/>
      <c r="F418" s="221"/>
      <c r="G418" s="222"/>
      <c r="I418" s="220"/>
    </row>
    <row r="419" spans="1:9" s="112" customFormat="1">
      <c r="A419" s="216"/>
      <c r="B419" s="217"/>
      <c r="C419" s="218"/>
      <c r="D419" s="219"/>
      <c r="E419" s="220"/>
      <c r="F419" s="221"/>
      <c r="G419" s="222"/>
      <c r="I419" s="220"/>
    </row>
    <row r="420" spans="1:9" s="112" customFormat="1">
      <c r="A420" s="216"/>
      <c r="B420" s="217"/>
      <c r="C420" s="218"/>
      <c r="D420" s="219"/>
      <c r="E420" s="220"/>
      <c r="F420" s="221"/>
      <c r="G420" s="222"/>
      <c r="I420" s="220"/>
    </row>
    <row r="421" spans="1:9" s="112" customFormat="1">
      <c r="A421" s="216"/>
      <c r="B421" s="217"/>
      <c r="C421" s="218"/>
      <c r="D421" s="219"/>
      <c r="E421" s="220"/>
      <c r="F421" s="221"/>
      <c r="G421" s="222"/>
      <c r="I421" s="220"/>
    </row>
    <row r="422" spans="1:9" s="112" customFormat="1">
      <c r="A422" s="216"/>
      <c r="B422" s="217"/>
      <c r="C422" s="218"/>
      <c r="D422" s="219"/>
      <c r="E422" s="220"/>
      <c r="F422" s="221"/>
      <c r="G422" s="222"/>
      <c r="I422" s="220"/>
    </row>
    <row r="423" spans="1:9" s="112" customFormat="1">
      <c r="A423" s="216"/>
      <c r="B423" s="217"/>
      <c r="C423" s="218"/>
      <c r="D423" s="219"/>
      <c r="E423" s="220"/>
      <c r="F423" s="221"/>
      <c r="G423" s="222"/>
      <c r="I423" s="220"/>
    </row>
    <row r="424" spans="1:9" s="112" customFormat="1">
      <c r="A424" s="216"/>
      <c r="B424" s="217"/>
      <c r="C424" s="218"/>
      <c r="D424" s="219"/>
      <c r="E424" s="220"/>
      <c r="F424" s="221"/>
      <c r="G424" s="222"/>
      <c r="I424" s="220"/>
    </row>
    <row r="425" spans="1:9" s="112" customFormat="1">
      <c r="A425" s="216"/>
      <c r="B425" s="217"/>
      <c r="C425" s="218"/>
      <c r="D425" s="219"/>
      <c r="E425" s="220"/>
      <c r="F425" s="221"/>
      <c r="G425" s="222"/>
      <c r="I425" s="220"/>
    </row>
    <row r="426" spans="1:9" s="112" customFormat="1">
      <c r="A426" s="216"/>
      <c r="B426" s="217"/>
      <c r="C426" s="218"/>
      <c r="D426" s="219"/>
      <c r="E426" s="220"/>
      <c r="F426" s="221"/>
      <c r="G426" s="222"/>
      <c r="I426" s="220"/>
    </row>
    <row r="427" spans="1:9" s="112" customFormat="1">
      <c r="A427" s="216"/>
      <c r="B427" s="217"/>
      <c r="C427" s="218"/>
      <c r="D427" s="219"/>
      <c r="E427" s="220"/>
      <c r="F427" s="221"/>
      <c r="G427" s="222"/>
      <c r="I427" s="220"/>
    </row>
    <row r="428" spans="1:9" s="112" customFormat="1">
      <c r="A428" s="216"/>
      <c r="B428" s="217"/>
      <c r="C428" s="218"/>
      <c r="D428" s="219"/>
      <c r="E428" s="220"/>
      <c r="F428" s="221"/>
      <c r="G428" s="222"/>
      <c r="I428" s="220"/>
    </row>
    <row r="429" spans="1:9" s="112" customFormat="1">
      <c r="A429" s="216"/>
      <c r="B429" s="217"/>
      <c r="C429" s="218"/>
      <c r="D429" s="219"/>
      <c r="E429" s="220"/>
      <c r="F429" s="221"/>
      <c r="G429" s="222"/>
      <c r="I429" s="220"/>
    </row>
    <row r="430" spans="1:9" s="112" customFormat="1">
      <c r="A430" s="216"/>
      <c r="B430" s="217"/>
      <c r="C430" s="218"/>
      <c r="D430" s="219"/>
      <c r="E430" s="220"/>
      <c r="F430" s="221"/>
      <c r="G430" s="222"/>
      <c r="I430" s="220"/>
    </row>
    <row r="431" spans="1:9" s="112" customFormat="1">
      <c r="A431" s="216"/>
      <c r="B431" s="217"/>
      <c r="C431" s="218"/>
      <c r="D431" s="219"/>
      <c r="E431" s="220"/>
      <c r="F431" s="221"/>
      <c r="G431" s="222"/>
      <c r="I431" s="220"/>
    </row>
    <row r="432" spans="1:9" s="112" customFormat="1">
      <c r="A432" s="216"/>
      <c r="B432" s="217"/>
      <c r="C432" s="218"/>
      <c r="D432" s="219"/>
      <c r="E432" s="220"/>
      <c r="F432" s="221"/>
      <c r="G432" s="222"/>
      <c r="I432" s="220"/>
    </row>
    <row r="433" spans="1:9" s="112" customFormat="1">
      <c r="A433" s="216"/>
      <c r="B433" s="217"/>
      <c r="C433" s="218"/>
      <c r="D433" s="219"/>
      <c r="E433" s="220"/>
      <c r="F433" s="221"/>
      <c r="G433" s="222"/>
      <c r="I433" s="220"/>
    </row>
    <row r="434" spans="1:9" s="112" customFormat="1">
      <c r="A434" s="216"/>
      <c r="B434" s="217"/>
      <c r="C434" s="218"/>
      <c r="D434" s="219"/>
      <c r="E434" s="220"/>
      <c r="F434" s="221"/>
      <c r="G434" s="222"/>
      <c r="I434" s="220"/>
    </row>
    <row r="435" spans="1:9" s="112" customFormat="1">
      <c r="A435" s="216"/>
      <c r="B435" s="217"/>
      <c r="C435" s="218"/>
      <c r="D435" s="219"/>
      <c r="E435" s="220"/>
      <c r="F435" s="221"/>
      <c r="G435" s="222"/>
      <c r="I435" s="220"/>
    </row>
    <row r="436" spans="1:9" s="112" customFormat="1">
      <c r="A436" s="216"/>
      <c r="B436" s="217"/>
      <c r="C436" s="218"/>
      <c r="D436" s="219"/>
      <c r="E436" s="220"/>
      <c r="F436" s="221"/>
      <c r="G436" s="222"/>
      <c r="I436" s="220"/>
    </row>
    <row r="437" spans="1:9" s="112" customFormat="1">
      <c r="A437" s="216"/>
      <c r="B437" s="217"/>
      <c r="C437" s="218"/>
      <c r="D437" s="219"/>
      <c r="E437" s="220"/>
      <c r="F437" s="221"/>
      <c r="G437" s="222"/>
      <c r="I437" s="220"/>
    </row>
    <row r="438" spans="1:9" s="112" customFormat="1">
      <c r="A438" s="216"/>
      <c r="B438" s="217"/>
      <c r="C438" s="218"/>
      <c r="D438" s="219"/>
      <c r="E438" s="220"/>
      <c r="F438" s="221"/>
      <c r="G438" s="222"/>
      <c r="I438" s="220"/>
    </row>
    <row r="439" spans="1:9" s="112" customFormat="1">
      <c r="A439" s="216"/>
      <c r="B439" s="217"/>
      <c r="C439" s="218"/>
      <c r="D439" s="219"/>
      <c r="E439" s="220"/>
      <c r="F439" s="221"/>
      <c r="G439" s="222"/>
      <c r="I439" s="220"/>
    </row>
    <row r="440" spans="1:9" s="112" customFormat="1">
      <c r="A440" s="216"/>
      <c r="B440" s="217"/>
      <c r="C440" s="218"/>
      <c r="D440" s="219"/>
      <c r="E440" s="220"/>
      <c r="F440" s="221"/>
      <c r="G440" s="222"/>
      <c r="I440" s="220"/>
    </row>
    <row r="441" spans="1:9" s="112" customFormat="1">
      <c r="A441" s="216"/>
      <c r="B441" s="217"/>
      <c r="C441" s="218"/>
      <c r="D441" s="219"/>
      <c r="E441" s="220"/>
      <c r="F441" s="221"/>
      <c r="G441" s="222"/>
      <c r="I441" s="220"/>
    </row>
    <row r="442" spans="1:9" s="112" customFormat="1">
      <c r="A442" s="216"/>
      <c r="B442" s="217"/>
      <c r="C442" s="218"/>
      <c r="D442" s="219"/>
      <c r="E442" s="220"/>
      <c r="F442" s="221"/>
      <c r="G442" s="222"/>
      <c r="I442" s="220"/>
    </row>
    <row r="443" spans="1:9" s="112" customFormat="1">
      <c r="A443" s="216"/>
      <c r="B443" s="217"/>
      <c r="C443" s="218"/>
      <c r="D443" s="219"/>
      <c r="E443" s="220"/>
      <c r="F443" s="221"/>
      <c r="G443" s="222"/>
      <c r="I443" s="220"/>
    </row>
    <row r="444" spans="1:9" s="112" customFormat="1">
      <c r="A444" s="216"/>
      <c r="B444" s="217"/>
      <c r="C444" s="218"/>
      <c r="D444" s="219"/>
      <c r="E444" s="220"/>
      <c r="F444" s="221"/>
      <c r="G444" s="222"/>
      <c r="I444" s="220"/>
    </row>
    <row r="445" spans="1:9" s="112" customFormat="1">
      <c r="A445" s="216"/>
      <c r="B445" s="217"/>
      <c r="C445" s="218"/>
      <c r="D445" s="219"/>
      <c r="E445" s="220"/>
      <c r="F445" s="221"/>
      <c r="G445" s="222"/>
      <c r="I445" s="220"/>
    </row>
    <row r="446" spans="1:9" s="112" customFormat="1">
      <c r="A446" s="216"/>
      <c r="B446" s="217"/>
      <c r="C446" s="218"/>
      <c r="D446" s="219"/>
      <c r="E446" s="220"/>
      <c r="F446" s="221"/>
      <c r="G446" s="222"/>
      <c r="I446" s="220"/>
    </row>
    <row r="447" spans="1:9" s="112" customFormat="1">
      <c r="A447" s="216"/>
      <c r="B447" s="217"/>
      <c r="C447" s="218"/>
      <c r="D447" s="219"/>
      <c r="E447" s="220"/>
      <c r="F447" s="221"/>
      <c r="G447" s="222"/>
      <c r="I447" s="220"/>
    </row>
    <row r="448" spans="1:9" s="112" customFormat="1">
      <c r="A448" s="216"/>
      <c r="B448" s="217"/>
      <c r="C448" s="218"/>
      <c r="D448" s="219"/>
      <c r="E448" s="220"/>
      <c r="F448" s="221"/>
      <c r="G448" s="222"/>
      <c r="I448" s="220"/>
    </row>
    <row r="449" spans="1:9" s="112" customFormat="1">
      <c r="A449" s="216"/>
      <c r="B449" s="217"/>
      <c r="C449" s="218"/>
      <c r="D449" s="219"/>
      <c r="E449" s="220"/>
      <c r="F449" s="221"/>
      <c r="G449" s="222"/>
      <c r="I449" s="220"/>
    </row>
    <row r="450" spans="1:9" s="112" customFormat="1">
      <c r="A450" s="216"/>
      <c r="B450" s="217"/>
      <c r="C450" s="218"/>
      <c r="D450" s="219"/>
      <c r="E450" s="220"/>
      <c r="F450" s="221"/>
      <c r="G450" s="222"/>
      <c r="I450" s="220"/>
    </row>
    <row r="451" spans="1:9" s="112" customFormat="1">
      <c r="A451" s="216"/>
      <c r="B451" s="217"/>
      <c r="C451" s="218"/>
      <c r="D451" s="219"/>
      <c r="E451" s="220"/>
      <c r="F451" s="221"/>
      <c r="G451" s="222"/>
      <c r="I451" s="220"/>
    </row>
    <row r="452" spans="1:9" s="112" customFormat="1">
      <c r="A452" s="216"/>
      <c r="B452" s="217"/>
      <c r="C452" s="218"/>
      <c r="D452" s="219"/>
      <c r="E452" s="220"/>
      <c r="F452" s="221"/>
      <c r="G452" s="222"/>
      <c r="I452" s="220"/>
    </row>
    <row r="453" spans="1:9" s="112" customFormat="1">
      <c r="A453" s="216"/>
      <c r="B453" s="217"/>
      <c r="C453" s="218"/>
      <c r="D453" s="219"/>
      <c r="E453" s="220"/>
      <c r="F453" s="221"/>
      <c r="G453" s="222"/>
      <c r="I453" s="220"/>
    </row>
    <row r="454" spans="1:9" s="112" customFormat="1">
      <c r="A454" s="216"/>
      <c r="B454" s="217"/>
      <c r="C454" s="218"/>
      <c r="D454" s="219"/>
      <c r="E454" s="220"/>
      <c r="F454" s="221"/>
      <c r="G454" s="222"/>
      <c r="I454" s="220"/>
    </row>
    <row r="455" spans="1:9" s="112" customFormat="1">
      <c r="A455" s="216"/>
      <c r="B455" s="217"/>
      <c r="C455" s="218"/>
      <c r="D455" s="219"/>
      <c r="E455" s="220"/>
      <c r="F455" s="221"/>
      <c r="G455" s="222"/>
      <c r="I455" s="220"/>
    </row>
    <row r="456" spans="1:9" s="112" customFormat="1">
      <c r="A456" s="216"/>
      <c r="B456" s="217"/>
      <c r="C456" s="218"/>
      <c r="D456" s="219"/>
      <c r="E456" s="220"/>
      <c r="F456" s="221"/>
      <c r="G456" s="222"/>
      <c r="I456" s="220"/>
    </row>
    <row r="457" spans="1:9" s="112" customFormat="1">
      <c r="A457" s="216"/>
      <c r="B457" s="217"/>
      <c r="C457" s="218"/>
      <c r="D457" s="219"/>
      <c r="E457" s="220"/>
      <c r="F457" s="221"/>
      <c r="G457" s="222"/>
      <c r="I457" s="220"/>
    </row>
    <row r="458" spans="1:9" s="112" customFormat="1">
      <c r="A458" s="216"/>
      <c r="B458" s="217"/>
      <c r="C458" s="218"/>
      <c r="D458" s="219"/>
      <c r="E458" s="220"/>
      <c r="F458" s="221"/>
      <c r="G458" s="222"/>
      <c r="I458" s="220"/>
    </row>
    <row r="459" spans="1:9" s="112" customFormat="1">
      <c r="A459" s="216"/>
      <c r="B459" s="217"/>
      <c r="C459" s="218"/>
      <c r="D459" s="219"/>
      <c r="E459" s="220"/>
      <c r="F459" s="221"/>
      <c r="G459" s="222"/>
      <c r="I459" s="220"/>
    </row>
    <row r="460" spans="1:9" s="112" customFormat="1">
      <c r="A460" s="216"/>
      <c r="B460" s="217"/>
      <c r="C460" s="218"/>
      <c r="D460" s="219"/>
      <c r="E460" s="220"/>
      <c r="F460" s="221"/>
      <c r="G460" s="222"/>
      <c r="I460" s="220"/>
    </row>
    <row r="461" spans="1:9" s="112" customFormat="1">
      <c r="A461" s="216"/>
      <c r="B461" s="217"/>
      <c r="C461" s="218"/>
      <c r="D461" s="219"/>
      <c r="E461" s="220"/>
      <c r="F461" s="221"/>
      <c r="G461" s="222"/>
      <c r="I461" s="220"/>
    </row>
    <row r="462" spans="1:9" s="112" customFormat="1">
      <c r="A462" s="216"/>
      <c r="B462" s="217"/>
      <c r="C462" s="218"/>
      <c r="D462" s="219"/>
      <c r="E462" s="220"/>
      <c r="F462" s="221"/>
      <c r="G462" s="222"/>
      <c r="I462" s="220"/>
    </row>
    <row r="463" spans="1:9" s="112" customFormat="1">
      <c r="A463" s="216"/>
      <c r="B463" s="217"/>
      <c r="C463" s="218"/>
      <c r="D463" s="219"/>
      <c r="E463" s="220"/>
      <c r="F463" s="221"/>
      <c r="G463" s="222"/>
      <c r="I463" s="220"/>
    </row>
    <row r="464" spans="1:9" s="112" customFormat="1">
      <c r="A464" s="216"/>
      <c r="B464" s="217"/>
      <c r="C464" s="218"/>
      <c r="D464" s="219"/>
      <c r="E464" s="220"/>
      <c r="F464" s="221"/>
      <c r="G464" s="222"/>
      <c r="I464" s="220"/>
    </row>
    <row r="465" spans="1:9" s="112" customFormat="1">
      <c r="A465" s="216"/>
      <c r="B465" s="217"/>
      <c r="C465" s="218"/>
      <c r="D465" s="219"/>
      <c r="E465" s="220"/>
      <c r="F465" s="221"/>
      <c r="G465" s="222"/>
      <c r="I465" s="220"/>
    </row>
    <row r="466" spans="1:9" s="112" customFormat="1">
      <c r="A466" s="216"/>
      <c r="B466" s="217"/>
      <c r="C466" s="218"/>
      <c r="D466" s="219"/>
      <c r="E466" s="220"/>
      <c r="F466" s="221"/>
      <c r="G466" s="222"/>
      <c r="I466" s="220"/>
    </row>
    <row r="467" spans="1:9" s="112" customFormat="1">
      <c r="A467" s="216"/>
      <c r="B467" s="217"/>
      <c r="C467" s="218"/>
      <c r="D467" s="219"/>
      <c r="E467" s="220"/>
      <c r="F467" s="221"/>
      <c r="G467" s="222"/>
      <c r="I467" s="220"/>
    </row>
    <row r="468" spans="1:9" s="112" customFormat="1">
      <c r="A468" s="216"/>
      <c r="B468" s="217"/>
      <c r="C468" s="218"/>
      <c r="D468" s="219"/>
      <c r="E468" s="220"/>
      <c r="F468" s="221"/>
      <c r="G468" s="222"/>
      <c r="I468" s="220"/>
    </row>
    <row r="469" spans="1:9" s="112" customFormat="1">
      <c r="A469" s="216"/>
      <c r="B469" s="217"/>
      <c r="C469" s="218"/>
      <c r="D469" s="219"/>
      <c r="E469" s="220"/>
      <c r="F469" s="221"/>
      <c r="G469" s="222"/>
      <c r="I469" s="220"/>
    </row>
    <row r="470" spans="1:9" s="112" customFormat="1">
      <c r="A470" s="216"/>
      <c r="B470" s="217"/>
      <c r="C470" s="218"/>
      <c r="D470" s="219"/>
      <c r="E470" s="220"/>
      <c r="F470" s="221"/>
      <c r="G470" s="222"/>
      <c r="I470" s="220"/>
    </row>
    <row r="471" spans="1:9" s="112" customFormat="1">
      <c r="A471" s="216"/>
      <c r="B471" s="217"/>
      <c r="C471" s="218"/>
      <c r="D471" s="219"/>
      <c r="E471" s="220"/>
      <c r="F471" s="221"/>
      <c r="G471" s="222"/>
      <c r="I471" s="220"/>
    </row>
    <row r="472" spans="1:9" s="112" customFormat="1">
      <c r="A472" s="216"/>
      <c r="B472" s="217"/>
      <c r="C472" s="218"/>
      <c r="D472" s="219"/>
      <c r="E472" s="220"/>
      <c r="F472" s="221"/>
      <c r="G472" s="222"/>
      <c r="I472" s="220"/>
    </row>
    <row r="473" spans="1:9" s="112" customFormat="1">
      <c r="A473" s="216"/>
      <c r="B473" s="217"/>
      <c r="C473" s="218"/>
      <c r="D473" s="219"/>
      <c r="E473" s="220"/>
      <c r="F473" s="221"/>
      <c r="G473" s="222"/>
      <c r="I473" s="220"/>
    </row>
    <row r="474" spans="1:9" s="112" customFormat="1">
      <c r="A474" s="216"/>
      <c r="B474" s="217"/>
      <c r="C474" s="218"/>
      <c r="D474" s="219"/>
      <c r="E474" s="220"/>
      <c r="F474" s="221"/>
      <c r="G474" s="222"/>
      <c r="I474" s="220"/>
    </row>
    <row r="475" spans="1:9" s="112" customFormat="1">
      <c r="A475" s="216"/>
      <c r="B475" s="217"/>
      <c r="C475" s="218"/>
      <c r="D475" s="219"/>
      <c r="E475" s="220"/>
      <c r="F475" s="221"/>
      <c r="G475" s="222"/>
      <c r="I475" s="220"/>
    </row>
    <row r="476" spans="1:9" s="112" customFormat="1">
      <c r="A476" s="216"/>
      <c r="B476" s="217"/>
      <c r="C476" s="218"/>
      <c r="D476" s="219"/>
      <c r="E476" s="220"/>
      <c r="F476" s="221"/>
      <c r="G476" s="222"/>
      <c r="I476" s="220"/>
    </row>
    <row r="477" spans="1:9" s="112" customFormat="1">
      <c r="A477" s="216"/>
      <c r="B477" s="217"/>
      <c r="C477" s="218"/>
      <c r="D477" s="219"/>
      <c r="E477" s="220"/>
      <c r="F477" s="221"/>
      <c r="G477" s="222"/>
      <c r="I477" s="220"/>
    </row>
    <row r="478" spans="1:9" s="112" customFormat="1">
      <c r="A478" s="216"/>
      <c r="B478" s="217"/>
      <c r="C478" s="218"/>
      <c r="D478" s="219"/>
      <c r="E478" s="220"/>
      <c r="F478" s="221"/>
      <c r="G478" s="222"/>
      <c r="I478" s="220"/>
    </row>
    <row r="479" spans="1:9" s="112" customFormat="1">
      <c r="A479" s="216"/>
      <c r="B479" s="217"/>
      <c r="C479" s="218"/>
      <c r="D479" s="219"/>
      <c r="E479" s="220"/>
      <c r="F479" s="221"/>
      <c r="G479" s="222"/>
      <c r="I479" s="220"/>
    </row>
    <row r="480" spans="1:9" s="112" customFormat="1">
      <c r="A480" s="216"/>
      <c r="B480" s="217"/>
      <c r="C480" s="218"/>
      <c r="D480" s="219"/>
      <c r="E480" s="220"/>
      <c r="F480" s="221"/>
      <c r="G480" s="222"/>
      <c r="I480" s="220"/>
    </row>
    <row r="481" spans="1:9" s="112" customFormat="1">
      <c r="A481" s="216"/>
      <c r="B481" s="217"/>
      <c r="C481" s="218"/>
      <c r="D481" s="219"/>
      <c r="E481" s="220"/>
      <c r="F481" s="221"/>
      <c r="G481" s="222"/>
      <c r="I481" s="220"/>
    </row>
    <row r="482" spans="1:9" s="112" customFormat="1">
      <c r="A482" s="216"/>
      <c r="B482" s="217"/>
      <c r="C482" s="218"/>
      <c r="D482" s="219"/>
      <c r="E482" s="220"/>
      <c r="F482" s="221"/>
      <c r="G482" s="222"/>
      <c r="I482" s="220"/>
    </row>
    <row r="483" spans="1:9" s="112" customFormat="1">
      <c r="A483" s="216"/>
      <c r="B483" s="217"/>
      <c r="C483" s="218"/>
      <c r="D483" s="219"/>
      <c r="E483" s="220"/>
      <c r="F483" s="221"/>
      <c r="G483" s="222"/>
      <c r="I483" s="220"/>
    </row>
    <row r="484" spans="1:9" s="112" customFormat="1">
      <c r="A484" s="216"/>
      <c r="B484" s="217"/>
      <c r="C484" s="218"/>
      <c r="D484" s="219"/>
      <c r="E484" s="220"/>
      <c r="F484" s="221"/>
      <c r="G484" s="222"/>
      <c r="I484" s="220"/>
    </row>
    <row r="485" spans="1:9" s="112" customFormat="1">
      <c r="A485" s="216"/>
      <c r="B485" s="217"/>
      <c r="C485" s="218"/>
      <c r="D485" s="219"/>
      <c r="E485" s="220"/>
      <c r="F485" s="221"/>
      <c r="G485" s="222"/>
      <c r="I485" s="220"/>
    </row>
    <row r="486" spans="1:9" s="112" customFormat="1">
      <c r="A486" s="216"/>
      <c r="B486" s="217"/>
      <c r="C486" s="218"/>
      <c r="D486" s="219"/>
      <c r="E486" s="220"/>
      <c r="F486" s="221"/>
      <c r="G486" s="222"/>
      <c r="I486" s="220"/>
    </row>
    <row r="487" spans="1:9" s="112" customFormat="1">
      <c r="A487" s="216"/>
      <c r="B487" s="217"/>
      <c r="C487" s="218"/>
      <c r="D487" s="219"/>
      <c r="E487" s="220"/>
      <c r="F487" s="221"/>
      <c r="G487" s="222"/>
      <c r="I487" s="220"/>
    </row>
    <row r="488" spans="1:9" s="112" customFormat="1">
      <c r="A488" s="216"/>
      <c r="B488" s="217"/>
      <c r="C488" s="218"/>
      <c r="D488" s="219"/>
      <c r="E488" s="220"/>
      <c r="F488" s="221"/>
      <c r="G488" s="222"/>
      <c r="I488" s="220"/>
    </row>
    <row r="489" spans="1:9" s="112" customFormat="1">
      <c r="A489" s="216"/>
      <c r="B489" s="217"/>
      <c r="C489" s="218"/>
      <c r="D489" s="219"/>
      <c r="E489" s="220"/>
      <c r="F489" s="221"/>
      <c r="G489" s="222"/>
      <c r="I489" s="220"/>
    </row>
    <row r="490" spans="1:9" s="112" customFormat="1">
      <c r="A490" s="216"/>
      <c r="B490" s="217"/>
      <c r="C490" s="218"/>
      <c r="D490" s="219"/>
      <c r="E490" s="220"/>
      <c r="F490" s="221"/>
      <c r="G490" s="222"/>
      <c r="I490" s="220"/>
    </row>
    <row r="491" spans="1:9" s="112" customFormat="1">
      <c r="A491" s="216"/>
      <c r="B491" s="217"/>
      <c r="C491" s="218"/>
      <c r="D491" s="219"/>
      <c r="E491" s="220"/>
      <c r="F491" s="221"/>
      <c r="G491" s="222"/>
      <c r="I491" s="220"/>
    </row>
    <row r="492" spans="1:9" s="112" customFormat="1">
      <c r="A492" s="216"/>
      <c r="B492" s="217"/>
      <c r="C492" s="218"/>
      <c r="D492" s="219"/>
      <c r="E492" s="220"/>
      <c r="F492" s="221"/>
      <c r="G492" s="222"/>
      <c r="I492" s="220"/>
    </row>
    <row r="493" spans="1:9">
      <c r="B493" s="217"/>
      <c r="C493" s="218"/>
      <c r="D493" s="219"/>
      <c r="E493" s="220"/>
      <c r="F493" s="221"/>
      <c r="G493" s="222"/>
      <c r="H493" s="112"/>
    </row>
    <row r="494" spans="1:9">
      <c r="B494" s="217"/>
      <c r="C494" s="218"/>
      <c r="D494" s="219"/>
      <c r="E494" s="220"/>
      <c r="F494" s="221"/>
      <c r="G494" s="222"/>
      <c r="H494" s="112"/>
    </row>
    <row r="495" spans="1:9">
      <c r="B495" s="217"/>
      <c r="C495" s="218"/>
      <c r="D495" s="219"/>
      <c r="E495" s="220"/>
      <c r="F495" s="221"/>
      <c r="G495" s="222"/>
      <c r="H495" s="112"/>
    </row>
    <row r="496" spans="1:9">
      <c r="B496" s="217"/>
      <c r="C496" s="218"/>
      <c r="D496" s="219"/>
      <c r="E496" s="220"/>
      <c r="F496" s="221"/>
      <c r="G496" s="222"/>
      <c r="H496" s="112"/>
    </row>
    <row r="497" spans="2:8">
      <c r="B497" s="217"/>
      <c r="C497" s="218"/>
      <c r="D497" s="219"/>
      <c r="E497" s="220"/>
      <c r="F497" s="221"/>
      <c r="G497" s="222"/>
      <c r="H497" s="112"/>
    </row>
    <row r="498" spans="2:8">
      <c r="B498" s="217"/>
      <c r="C498" s="218"/>
      <c r="D498" s="219"/>
      <c r="E498" s="220"/>
      <c r="F498" s="221"/>
    </row>
  </sheetData>
  <mergeCells count="1">
    <mergeCell ref="C1:D1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/>
  <rowBreaks count="1" manualBreakCount="1">
    <brk id="50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erge_REPCR">
                <anchor moveWithCells="1" sizeWithCells="1">
                  <from>
                    <xdr:col>11</xdr:col>
                    <xdr:colOff>66675</xdr:colOff>
                    <xdr:row>0</xdr:row>
                    <xdr:rowOff>152400</xdr:rowOff>
                  </from>
                  <to>
                    <xdr:col>12</xdr:col>
                    <xdr:colOff>47625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workbookViewId="0">
      <selection activeCell="I16" sqref="I16"/>
    </sheetView>
  </sheetViews>
  <sheetFormatPr defaultRowHeight="16.5"/>
  <cols>
    <col min="1" max="1" width="13.375" style="270" customWidth="1"/>
    <col min="2" max="2" width="9" style="270"/>
    <col min="4" max="4" width="12.75" customWidth="1"/>
    <col min="5" max="5" width="14.625" customWidth="1"/>
    <col min="6" max="6" width="16.25" customWidth="1"/>
    <col min="7" max="7" width="12.875" style="270" customWidth="1"/>
    <col min="8" max="16384" width="9" style="270"/>
  </cols>
  <sheetData>
    <row r="1" spans="1:12">
      <c r="A1" s="270" t="s">
        <v>235</v>
      </c>
      <c r="C1" s="270"/>
      <c r="D1" s="270"/>
      <c r="E1" s="270"/>
      <c r="F1" s="270"/>
    </row>
    <row r="2" spans="1:12">
      <c r="C2" s="270"/>
      <c r="D2" s="270"/>
      <c r="E2" s="270"/>
      <c r="F2" s="270"/>
    </row>
    <row r="3" spans="1:12">
      <c r="A3" s="270" t="s">
        <v>236</v>
      </c>
      <c r="B3" s="270" t="s">
        <v>237</v>
      </c>
      <c r="C3" s="270" t="s">
        <v>238</v>
      </c>
      <c r="D3" s="270" t="s">
        <v>239</v>
      </c>
      <c r="E3" s="270" t="s">
        <v>240</v>
      </c>
      <c r="F3" s="270" t="s">
        <v>241</v>
      </c>
      <c r="G3" s="270" t="s">
        <v>242</v>
      </c>
      <c r="H3" s="270" t="s">
        <v>243</v>
      </c>
    </row>
    <row r="4" spans="1:12">
      <c r="A4" s="270" t="s">
        <v>362</v>
      </c>
      <c r="B4" s="270" t="s">
        <v>244</v>
      </c>
      <c r="C4" s="270">
        <v>36</v>
      </c>
      <c r="D4" s="270" t="s">
        <v>245</v>
      </c>
      <c r="E4" s="270">
        <v>96</v>
      </c>
      <c r="F4" s="270"/>
    </row>
    <row r="5" spans="1:12">
      <c r="C5" s="270"/>
      <c r="D5" s="270"/>
      <c r="E5" s="270"/>
      <c r="F5" s="270"/>
    </row>
    <row r="6" spans="1:12">
      <c r="A6" s="270" t="s">
        <v>246</v>
      </c>
      <c r="B6" s="270" t="s">
        <v>247</v>
      </c>
      <c r="C6" s="270" t="s">
        <v>248</v>
      </c>
      <c r="D6" s="270" t="s">
        <v>249</v>
      </c>
      <c r="E6" s="270" t="s">
        <v>250</v>
      </c>
      <c r="F6" s="270" t="s">
        <v>251</v>
      </c>
      <c r="G6" s="270" t="s">
        <v>252</v>
      </c>
      <c r="H6" s="270" t="s">
        <v>253</v>
      </c>
      <c r="I6" s="270" t="s">
        <v>254</v>
      </c>
      <c r="J6" s="270" t="s">
        <v>255</v>
      </c>
      <c r="K6" s="270" t="s">
        <v>256</v>
      </c>
      <c r="L6" s="270" t="s">
        <v>243</v>
      </c>
    </row>
    <row r="7" spans="1:12">
      <c r="A7" s="270" t="s">
        <v>257</v>
      </c>
      <c r="B7" s="270" t="s">
        <v>178</v>
      </c>
      <c r="D7" t="s">
        <v>353</v>
      </c>
      <c r="E7" t="s">
        <v>354</v>
      </c>
      <c r="F7" t="s">
        <v>355</v>
      </c>
    </row>
    <row r="8" spans="1:12">
      <c r="A8" s="270" t="s">
        <v>258</v>
      </c>
      <c r="B8" s="270" t="s">
        <v>179</v>
      </c>
      <c r="D8" t="s">
        <v>353</v>
      </c>
      <c r="E8" t="s">
        <v>354</v>
      </c>
      <c r="F8" t="s">
        <v>355</v>
      </c>
    </row>
    <row r="9" spans="1:12">
      <c r="A9" s="270" t="s">
        <v>259</v>
      </c>
      <c r="B9" s="270" t="s">
        <v>180</v>
      </c>
      <c r="D9" t="s">
        <v>353</v>
      </c>
      <c r="E9" t="s">
        <v>354</v>
      </c>
      <c r="F9" t="s">
        <v>355</v>
      </c>
    </row>
    <row r="10" spans="1:12">
      <c r="A10" s="270" t="s">
        <v>260</v>
      </c>
      <c r="B10" s="270" t="s">
        <v>181</v>
      </c>
      <c r="D10" t="s">
        <v>353</v>
      </c>
      <c r="E10" t="s">
        <v>354</v>
      </c>
      <c r="F10" t="s">
        <v>355</v>
      </c>
    </row>
    <row r="11" spans="1:12">
      <c r="A11" s="270" t="s">
        <v>261</v>
      </c>
      <c r="B11" s="270" t="s">
        <v>182</v>
      </c>
      <c r="D11" t="s">
        <v>353</v>
      </c>
      <c r="E11" t="s">
        <v>354</v>
      </c>
      <c r="F11" t="s">
        <v>355</v>
      </c>
    </row>
    <row r="12" spans="1:12">
      <c r="A12" s="270" t="s">
        <v>262</v>
      </c>
      <c r="B12" s="270" t="s">
        <v>183</v>
      </c>
      <c r="D12" t="s">
        <v>353</v>
      </c>
      <c r="E12" t="s">
        <v>354</v>
      </c>
      <c r="F12" t="s">
        <v>355</v>
      </c>
    </row>
    <row r="13" spans="1:12">
      <c r="A13" s="270" t="s">
        <v>263</v>
      </c>
      <c r="B13" s="270" t="s">
        <v>184</v>
      </c>
      <c r="D13" t="s">
        <v>353</v>
      </c>
      <c r="E13" t="s">
        <v>354</v>
      </c>
      <c r="F13" t="s">
        <v>355</v>
      </c>
    </row>
    <row r="14" spans="1:12">
      <c r="A14" s="270" t="s">
        <v>264</v>
      </c>
      <c r="B14" s="270" t="s">
        <v>185</v>
      </c>
      <c r="D14" t="s">
        <v>353</v>
      </c>
      <c r="E14" t="s">
        <v>354</v>
      </c>
      <c r="F14" t="s">
        <v>355</v>
      </c>
    </row>
    <row r="15" spans="1:12">
      <c r="A15" s="270" t="s">
        <v>265</v>
      </c>
      <c r="B15" s="270" t="s">
        <v>186</v>
      </c>
      <c r="D15" t="s">
        <v>353</v>
      </c>
      <c r="E15" t="s">
        <v>354</v>
      </c>
      <c r="F15" t="s">
        <v>355</v>
      </c>
    </row>
    <row r="16" spans="1:12">
      <c r="A16" s="270" t="s">
        <v>266</v>
      </c>
      <c r="B16" s="270" t="s">
        <v>187</v>
      </c>
      <c r="D16" t="s">
        <v>353</v>
      </c>
      <c r="E16" t="s">
        <v>354</v>
      </c>
      <c r="F16" t="s">
        <v>355</v>
      </c>
    </row>
    <row r="17" spans="1:6">
      <c r="A17" s="270" t="s">
        <v>267</v>
      </c>
      <c r="B17" s="270" t="s">
        <v>188</v>
      </c>
      <c r="D17" t="s">
        <v>353</v>
      </c>
      <c r="E17" t="s">
        <v>354</v>
      </c>
      <c r="F17" t="s">
        <v>355</v>
      </c>
    </row>
    <row r="18" spans="1:6">
      <c r="A18" s="270" t="s">
        <v>268</v>
      </c>
      <c r="B18" s="270" t="s">
        <v>189</v>
      </c>
      <c r="D18" t="s">
        <v>353</v>
      </c>
      <c r="E18" t="s">
        <v>354</v>
      </c>
      <c r="F18" t="s">
        <v>355</v>
      </c>
    </row>
    <row r="19" spans="1:6">
      <c r="A19" s="270" t="s">
        <v>269</v>
      </c>
      <c r="B19" s="270" t="s">
        <v>190</v>
      </c>
      <c r="D19" t="s">
        <v>353</v>
      </c>
      <c r="E19" t="s">
        <v>354</v>
      </c>
      <c r="F19" t="s">
        <v>355</v>
      </c>
    </row>
    <row r="20" spans="1:6">
      <c r="A20" s="270" t="s">
        <v>270</v>
      </c>
      <c r="B20" s="270" t="s">
        <v>191</v>
      </c>
      <c r="D20" t="s">
        <v>353</v>
      </c>
      <c r="E20" t="s">
        <v>354</v>
      </c>
      <c r="F20" t="s">
        <v>355</v>
      </c>
    </row>
    <row r="21" spans="1:6">
      <c r="A21" s="270" t="s">
        <v>271</v>
      </c>
      <c r="B21" s="270" t="s">
        <v>192</v>
      </c>
      <c r="D21" t="s">
        <v>353</v>
      </c>
      <c r="E21" t="s">
        <v>354</v>
      </c>
      <c r="F21" t="s">
        <v>355</v>
      </c>
    </row>
    <row r="22" spans="1:6">
      <c r="A22" s="270" t="s">
        <v>272</v>
      </c>
      <c r="B22" s="270" t="s">
        <v>193</v>
      </c>
      <c r="D22" t="s">
        <v>353</v>
      </c>
      <c r="E22" t="s">
        <v>354</v>
      </c>
      <c r="F22" t="s">
        <v>355</v>
      </c>
    </row>
    <row r="23" spans="1:6">
      <c r="A23" s="270" t="s">
        <v>273</v>
      </c>
      <c r="B23" s="270" t="s">
        <v>194</v>
      </c>
      <c r="D23" t="s">
        <v>353</v>
      </c>
      <c r="E23" t="s">
        <v>354</v>
      </c>
      <c r="F23" t="s">
        <v>355</v>
      </c>
    </row>
    <row r="24" spans="1:6">
      <c r="A24" s="270" t="s">
        <v>274</v>
      </c>
      <c r="B24" s="270" t="s">
        <v>195</v>
      </c>
      <c r="D24" t="s">
        <v>353</v>
      </c>
      <c r="E24" t="s">
        <v>354</v>
      </c>
      <c r="F24" t="s">
        <v>355</v>
      </c>
    </row>
    <row r="25" spans="1:6">
      <c r="A25" s="270" t="s">
        <v>275</v>
      </c>
      <c r="B25" s="270" t="s">
        <v>196</v>
      </c>
      <c r="D25" t="s">
        <v>353</v>
      </c>
      <c r="E25" t="s">
        <v>354</v>
      </c>
      <c r="F25" t="s">
        <v>355</v>
      </c>
    </row>
    <row r="26" spans="1:6">
      <c r="A26" s="270" t="s">
        <v>276</v>
      </c>
      <c r="B26" s="270" t="s">
        <v>197</v>
      </c>
      <c r="D26" t="s">
        <v>353</v>
      </c>
      <c r="E26" t="s">
        <v>354</v>
      </c>
      <c r="F26" t="s">
        <v>355</v>
      </c>
    </row>
    <row r="27" spans="1:6">
      <c r="A27" s="270" t="s">
        <v>277</v>
      </c>
      <c r="B27" s="270" t="s">
        <v>198</v>
      </c>
      <c r="D27" t="s">
        <v>353</v>
      </c>
      <c r="E27" t="s">
        <v>354</v>
      </c>
      <c r="F27" t="s">
        <v>355</v>
      </c>
    </row>
    <row r="28" spans="1:6">
      <c r="A28" s="270" t="s">
        <v>278</v>
      </c>
      <c r="B28" s="270" t="s">
        <v>199</v>
      </c>
      <c r="D28" t="s">
        <v>353</v>
      </c>
      <c r="E28" t="s">
        <v>354</v>
      </c>
      <c r="F28" t="s">
        <v>355</v>
      </c>
    </row>
    <row r="29" spans="1:6">
      <c r="A29" s="270" t="s">
        <v>279</v>
      </c>
      <c r="B29" s="270" t="s">
        <v>200</v>
      </c>
      <c r="D29" t="s">
        <v>353</v>
      </c>
      <c r="E29" t="s">
        <v>354</v>
      </c>
      <c r="F29" t="s">
        <v>355</v>
      </c>
    </row>
    <row r="30" spans="1:6">
      <c r="A30" s="270" t="s">
        <v>280</v>
      </c>
      <c r="B30" s="270" t="s">
        <v>201</v>
      </c>
      <c r="D30" t="s">
        <v>353</v>
      </c>
      <c r="E30" t="s">
        <v>354</v>
      </c>
      <c r="F30" t="s">
        <v>355</v>
      </c>
    </row>
    <row r="31" spans="1:6">
      <c r="A31" s="270" t="s">
        <v>281</v>
      </c>
      <c r="B31" s="270" t="s">
        <v>202</v>
      </c>
      <c r="D31" t="s">
        <v>353</v>
      </c>
      <c r="E31" t="s">
        <v>354</v>
      </c>
      <c r="F31" t="s">
        <v>355</v>
      </c>
    </row>
    <row r="32" spans="1:6">
      <c r="A32" s="270" t="s">
        <v>282</v>
      </c>
      <c r="B32" s="270" t="s">
        <v>203</v>
      </c>
      <c r="D32" t="s">
        <v>353</v>
      </c>
      <c r="E32" t="s">
        <v>354</v>
      </c>
      <c r="F32" t="s">
        <v>355</v>
      </c>
    </row>
    <row r="33" spans="1:6">
      <c r="A33" s="270" t="s">
        <v>283</v>
      </c>
      <c r="B33" s="270" t="s">
        <v>204</v>
      </c>
      <c r="D33" t="s">
        <v>353</v>
      </c>
      <c r="E33" t="s">
        <v>354</v>
      </c>
      <c r="F33" t="s">
        <v>355</v>
      </c>
    </row>
    <row r="34" spans="1:6">
      <c r="A34" s="270" t="s">
        <v>284</v>
      </c>
      <c r="B34" s="270" t="s">
        <v>205</v>
      </c>
      <c r="D34" t="s">
        <v>353</v>
      </c>
      <c r="E34" t="s">
        <v>354</v>
      </c>
      <c r="F34" t="s">
        <v>355</v>
      </c>
    </row>
    <row r="35" spans="1:6">
      <c r="A35" s="270" t="s">
        <v>285</v>
      </c>
      <c r="B35" s="270" t="s">
        <v>206</v>
      </c>
      <c r="D35" t="s">
        <v>353</v>
      </c>
      <c r="E35" t="s">
        <v>354</v>
      </c>
      <c r="F35" t="s">
        <v>355</v>
      </c>
    </row>
    <row r="36" spans="1:6">
      <c r="A36" s="270" t="s">
        <v>286</v>
      </c>
      <c r="B36" s="270" t="s">
        <v>207</v>
      </c>
      <c r="D36" t="s">
        <v>353</v>
      </c>
      <c r="E36" t="s">
        <v>354</v>
      </c>
      <c r="F36" t="s">
        <v>355</v>
      </c>
    </row>
    <row r="37" spans="1:6">
      <c r="A37" s="270" t="s">
        <v>287</v>
      </c>
      <c r="B37" s="270" t="s">
        <v>208</v>
      </c>
      <c r="D37" t="s">
        <v>353</v>
      </c>
      <c r="E37" t="s">
        <v>354</v>
      </c>
      <c r="F37" t="s">
        <v>355</v>
      </c>
    </row>
    <row r="38" spans="1:6">
      <c r="A38" s="270" t="s">
        <v>288</v>
      </c>
      <c r="B38" s="270" t="s">
        <v>209</v>
      </c>
      <c r="D38" t="s">
        <v>353</v>
      </c>
      <c r="E38" t="s">
        <v>354</v>
      </c>
      <c r="F38" t="s">
        <v>355</v>
      </c>
    </row>
    <row r="39" spans="1:6">
      <c r="A39" s="270" t="s">
        <v>289</v>
      </c>
      <c r="B39" s="270" t="s">
        <v>210</v>
      </c>
      <c r="D39" t="s">
        <v>353</v>
      </c>
      <c r="E39" t="s">
        <v>354</v>
      </c>
      <c r="F39" t="s">
        <v>355</v>
      </c>
    </row>
    <row r="40" spans="1:6">
      <c r="A40" s="270" t="s">
        <v>290</v>
      </c>
      <c r="B40" s="270" t="s">
        <v>211</v>
      </c>
      <c r="D40" t="s">
        <v>353</v>
      </c>
      <c r="E40" t="s">
        <v>354</v>
      </c>
      <c r="F40" t="s">
        <v>355</v>
      </c>
    </row>
    <row r="41" spans="1:6">
      <c r="A41" s="270" t="s">
        <v>291</v>
      </c>
      <c r="B41" s="270" t="s">
        <v>212</v>
      </c>
      <c r="D41" t="s">
        <v>353</v>
      </c>
      <c r="E41" t="s">
        <v>354</v>
      </c>
      <c r="F41" t="s">
        <v>355</v>
      </c>
    </row>
    <row r="42" spans="1:6">
      <c r="A42" s="270" t="s">
        <v>292</v>
      </c>
      <c r="B42" s="270" t="s">
        <v>213</v>
      </c>
      <c r="D42" t="s">
        <v>353</v>
      </c>
      <c r="E42" t="s">
        <v>354</v>
      </c>
      <c r="F42" t="s">
        <v>355</v>
      </c>
    </row>
    <row r="43" spans="1:6">
      <c r="A43" s="270" t="s">
        <v>293</v>
      </c>
      <c r="B43" s="270" t="s">
        <v>214</v>
      </c>
      <c r="D43" t="s">
        <v>353</v>
      </c>
      <c r="E43" t="s">
        <v>354</v>
      </c>
      <c r="F43" t="s">
        <v>355</v>
      </c>
    </row>
    <row r="44" spans="1:6">
      <c r="A44" s="270" t="s">
        <v>294</v>
      </c>
      <c r="B44" s="270" t="s">
        <v>215</v>
      </c>
      <c r="D44" t="s">
        <v>353</v>
      </c>
      <c r="E44" t="s">
        <v>354</v>
      </c>
      <c r="F44" t="s">
        <v>355</v>
      </c>
    </row>
    <row r="45" spans="1:6">
      <c r="A45" s="270" t="s">
        <v>295</v>
      </c>
      <c r="B45" s="270" t="s">
        <v>216</v>
      </c>
      <c r="D45" t="s">
        <v>353</v>
      </c>
      <c r="E45" t="s">
        <v>354</v>
      </c>
      <c r="F45" t="s">
        <v>355</v>
      </c>
    </row>
    <row r="46" spans="1:6">
      <c r="A46" s="270" t="s">
        <v>296</v>
      </c>
      <c r="B46" s="270" t="s">
        <v>217</v>
      </c>
      <c r="D46" t="s">
        <v>353</v>
      </c>
      <c r="E46" t="s">
        <v>354</v>
      </c>
      <c r="F46" t="s">
        <v>355</v>
      </c>
    </row>
    <row r="47" spans="1:6">
      <c r="A47" s="270" t="s">
        <v>297</v>
      </c>
      <c r="B47" s="270" t="s">
        <v>218</v>
      </c>
      <c r="D47" t="s">
        <v>353</v>
      </c>
      <c r="E47" t="s">
        <v>354</v>
      </c>
      <c r="F47" t="s">
        <v>355</v>
      </c>
    </row>
    <row r="48" spans="1:6">
      <c r="A48" s="270" t="s">
        <v>298</v>
      </c>
      <c r="B48" s="270" t="s">
        <v>219</v>
      </c>
      <c r="D48" t="s">
        <v>353</v>
      </c>
      <c r="E48" t="s">
        <v>354</v>
      </c>
      <c r="F48" t="s">
        <v>355</v>
      </c>
    </row>
    <row r="49" spans="1:6">
      <c r="A49" s="270" t="s">
        <v>299</v>
      </c>
      <c r="B49" s="270" t="s">
        <v>220</v>
      </c>
      <c r="D49" t="s">
        <v>353</v>
      </c>
      <c r="E49" t="s">
        <v>354</v>
      </c>
      <c r="F49" t="s">
        <v>355</v>
      </c>
    </row>
    <row r="50" spans="1:6">
      <c r="A50" s="270" t="s">
        <v>300</v>
      </c>
      <c r="B50" s="270" t="s">
        <v>221</v>
      </c>
      <c r="D50" t="s">
        <v>353</v>
      </c>
      <c r="E50" t="s">
        <v>354</v>
      </c>
      <c r="F50" t="s">
        <v>355</v>
      </c>
    </row>
    <row r="51" spans="1:6">
      <c r="A51" s="270" t="s">
        <v>301</v>
      </c>
      <c r="B51" s="270" t="s">
        <v>222</v>
      </c>
      <c r="D51" t="s">
        <v>353</v>
      </c>
      <c r="E51" t="s">
        <v>354</v>
      </c>
      <c r="F51" t="s">
        <v>355</v>
      </c>
    </row>
    <row r="52" spans="1:6">
      <c r="A52" s="270" t="s">
        <v>302</v>
      </c>
      <c r="B52" s="270" t="s">
        <v>223</v>
      </c>
      <c r="D52" t="s">
        <v>353</v>
      </c>
      <c r="E52" t="s">
        <v>354</v>
      </c>
      <c r="F52" t="s">
        <v>355</v>
      </c>
    </row>
    <row r="53" spans="1:6">
      <c r="A53" s="270" t="s">
        <v>303</v>
      </c>
      <c r="B53" s="270" t="s">
        <v>224</v>
      </c>
      <c r="D53" t="s">
        <v>353</v>
      </c>
      <c r="E53" t="s">
        <v>354</v>
      </c>
      <c r="F53" t="s">
        <v>355</v>
      </c>
    </row>
    <row r="54" spans="1:6">
      <c r="A54" s="270" t="s">
        <v>304</v>
      </c>
      <c r="B54" s="270" t="s">
        <v>225</v>
      </c>
      <c r="D54" t="s">
        <v>353</v>
      </c>
      <c r="E54" t="s">
        <v>354</v>
      </c>
      <c r="F54" t="s">
        <v>355</v>
      </c>
    </row>
    <row r="55" spans="1:6">
      <c r="A55" s="270" t="s">
        <v>305</v>
      </c>
      <c r="B55" s="270" t="s">
        <v>226</v>
      </c>
      <c r="D55" t="s">
        <v>353</v>
      </c>
      <c r="E55" t="s">
        <v>354</v>
      </c>
      <c r="F55" t="s">
        <v>355</v>
      </c>
    </row>
    <row r="56" spans="1:6">
      <c r="A56" s="270" t="s">
        <v>306</v>
      </c>
      <c r="B56" s="270" t="s">
        <v>227</v>
      </c>
      <c r="D56" t="s">
        <v>353</v>
      </c>
      <c r="E56" t="s">
        <v>354</v>
      </c>
      <c r="F56" t="s">
        <v>355</v>
      </c>
    </row>
    <row r="57" spans="1:6">
      <c r="A57" s="270" t="s">
        <v>307</v>
      </c>
      <c r="B57" s="270" t="s">
        <v>228</v>
      </c>
      <c r="D57" t="s">
        <v>353</v>
      </c>
      <c r="E57" t="s">
        <v>354</v>
      </c>
      <c r="F57" t="s">
        <v>355</v>
      </c>
    </row>
    <row r="58" spans="1:6">
      <c r="A58" s="270" t="s">
        <v>308</v>
      </c>
      <c r="B58" s="270" t="s">
        <v>229</v>
      </c>
      <c r="D58" t="s">
        <v>353</v>
      </c>
      <c r="E58" t="s">
        <v>354</v>
      </c>
      <c r="F58" t="s">
        <v>355</v>
      </c>
    </row>
    <row r="59" spans="1:6">
      <c r="A59" s="270" t="s">
        <v>309</v>
      </c>
      <c r="B59" s="270" t="s">
        <v>230</v>
      </c>
      <c r="D59" t="s">
        <v>353</v>
      </c>
      <c r="E59" t="s">
        <v>354</v>
      </c>
      <c r="F59" t="s">
        <v>355</v>
      </c>
    </row>
    <row r="60" spans="1:6">
      <c r="A60" s="270" t="s">
        <v>310</v>
      </c>
      <c r="B60" s="270" t="s">
        <v>231</v>
      </c>
      <c r="D60" t="s">
        <v>353</v>
      </c>
      <c r="E60" t="s">
        <v>354</v>
      </c>
      <c r="F60" t="s">
        <v>355</v>
      </c>
    </row>
    <row r="61" spans="1:6">
      <c r="A61" s="270" t="s">
        <v>311</v>
      </c>
      <c r="B61" s="270" t="s">
        <v>232</v>
      </c>
      <c r="D61" t="s">
        <v>353</v>
      </c>
      <c r="E61" t="s">
        <v>354</v>
      </c>
      <c r="F61" t="s">
        <v>355</v>
      </c>
    </row>
    <row r="62" spans="1:6">
      <c r="A62" s="270" t="s">
        <v>312</v>
      </c>
      <c r="B62" s="270" t="s">
        <v>233</v>
      </c>
      <c r="D62" t="s">
        <v>353</v>
      </c>
      <c r="E62" t="s">
        <v>354</v>
      </c>
      <c r="F62" t="s">
        <v>355</v>
      </c>
    </row>
    <row r="63" spans="1:6">
      <c r="A63" s="270" t="s">
        <v>313</v>
      </c>
    </row>
    <row r="64" spans="1:6">
      <c r="A64" s="270" t="s">
        <v>314</v>
      </c>
    </row>
    <row r="65" spans="1:1">
      <c r="A65" s="270" t="s">
        <v>315</v>
      </c>
    </row>
    <row r="66" spans="1:1">
      <c r="A66" s="270" t="s">
        <v>316</v>
      </c>
    </row>
    <row r="67" spans="1:1">
      <c r="A67" s="270" t="s">
        <v>317</v>
      </c>
    </row>
    <row r="68" spans="1:1">
      <c r="A68" s="270" t="s">
        <v>318</v>
      </c>
    </row>
    <row r="69" spans="1:1">
      <c r="A69" s="270" t="s">
        <v>319</v>
      </c>
    </row>
    <row r="70" spans="1:1">
      <c r="A70" s="270" t="s">
        <v>320</v>
      </c>
    </row>
    <row r="71" spans="1:1">
      <c r="A71" s="270" t="s">
        <v>321</v>
      </c>
    </row>
    <row r="72" spans="1:1">
      <c r="A72" s="270" t="s">
        <v>322</v>
      </c>
    </row>
    <row r="73" spans="1:1">
      <c r="A73" s="270" t="s">
        <v>323</v>
      </c>
    </row>
    <row r="74" spans="1:1">
      <c r="A74" s="270" t="s">
        <v>324</v>
      </c>
    </row>
    <row r="75" spans="1:1">
      <c r="A75" s="270" t="s">
        <v>325</v>
      </c>
    </row>
    <row r="76" spans="1:1">
      <c r="A76" s="270" t="s">
        <v>326</v>
      </c>
    </row>
    <row r="77" spans="1:1">
      <c r="A77" s="270" t="s">
        <v>327</v>
      </c>
    </row>
    <row r="78" spans="1:1">
      <c r="A78" s="270" t="s">
        <v>328</v>
      </c>
    </row>
    <row r="79" spans="1:1">
      <c r="A79" s="270" t="s">
        <v>329</v>
      </c>
    </row>
    <row r="80" spans="1:1">
      <c r="A80" s="270" t="s">
        <v>330</v>
      </c>
    </row>
    <row r="81" spans="1:1">
      <c r="A81" s="270" t="s">
        <v>331</v>
      </c>
    </row>
    <row r="82" spans="1:1">
      <c r="A82" s="270" t="s">
        <v>332</v>
      </c>
    </row>
    <row r="83" spans="1:1">
      <c r="A83" s="270" t="s">
        <v>333</v>
      </c>
    </row>
    <row r="84" spans="1:1">
      <c r="A84" s="270" t="s">
        <v>334</v>
      </c>
    </row>
    <row r="85" spans="1:1">
      <c r="A85" s="270" t="s">
        <v>335</v>
      </c>
    </row>
    <row r="86" spans="1:1">
      <c r="A86" s="270" t="s">
        <v>336</v>
      </c>
    </row>
    <row r="87" spans="1:1">
      <c r="A87" s="270" t="s">
        <v>337</v>
      </c>
    </row>
    <row r="88" spans="1:1">
      <c r="A88" s="270" t="s">
        <v>338</v>
      </c>
    </row>
    <row r="89" spans="1:1">
      <c r="A89" s="270" t="s">
        <v>339</v>
      </c>
    </row>
    <row r="90" spans="1:1">
      <c r="A90" s="270" t="s">
        <v>340</v>
      </c>
    </row>
    <row r="91" spans="1:1">
      <c r="A91" s="270" t="s">
        <v>341</v>
      </c>
    </row>
    <row r="92" spans="1:1">
      <c r="A92" s="270" t="s">
        <v>342</v>
      </c>
    </row>
    <row r="93" spans="1:1">
      <c r="A93" s="270" t="s">
        <v>343</v>
      </c>
    </row>
    <row r="94" spans="1:1">
      <c r="A94" s="270" t="s">
        <v>344</v>
      </c>
    </row>
    <row r="95" spans="1:1">
      <c r="A95" s="270" t="s">
        <v>345</v>
      </c>
    </row>
    <row r="96" spans="1:1">
      <c r="A96" s="270" t="s">
        <v>346</v>
      </c>
    </row>
    <row r="97" spans="1:1">
      <c r="A97" s="270" t="s">
        <v>347</v>
      </c>
    </row>
    <row r="98" spans="1:1">
      <c r="A98" s="270" t="s">
        <v>348</v>
      </c>
    </row>
    <row r="99" spans="1:1">
      <c r="A99" s="270" t="s">
        <v>349</v>
      </c>
    </row>
    <row r="100" spans="1:1">
      <c r="A100" s="270" t="s">
        <v>350</v>
      </c>
    </row>
    <row r="101" spans="1:1">
      <c r="A101" s="270" t="s">
        <v>351</v>
      </c>
    </row>
    <row r="102" spans="1:1">
      <c r="A102" s="270" t="s">
        <v>352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G1:T10"/>
  <sheetViews>
    <sheetView workbookViewId="0">
      <selection activeCell="E13" sqref="E13"/>
    </sheetView>
  </sheetViews>
  <sheetFormatPr defaultRowHeight="16.5"/>
  <cols>
    <col min="1" max="16384" width="9" style="270"/>
  </cols>
  <sheetData>
    <row r="1" spans="7:20">
      <c r="G1" s="54" t="s">
        <v>1</v>
      </c>
      <c r="J1" s="271" t="s">
        <v>3</v>
      </c>
    </row>
    <row r="2" spans="7:20" ht="21" customHeight="1"/>
    <row r="5" spans="7:20">
      <c r="T5" s="270" t="s">
        <v>356</v>
      </c>
    </row>
    <row r="6" spans="7:20">
      <c r="T6" s="270" t="s">
        <v>357</v>
      </c>
    </row>
    <row r="7" spans="7:20">
      <c r="T7" s="270" t="s">
        <v>358</v>
      </c>
    </row>
    <row r="8" spans="7:20">
      <c r="T8" s="270" t="s">
        <v>359</v>
      </c>
    </row>
    <row r="9" spans="7:20">
      <c r="T9" s="270" t="s">
        <v>360</v>
      </c>
    </row>
    <row r="10" spans="7:20">
      <c r="T10" s="270" t="s">
        <v>361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3" name="Button 11">
              <controlPr defaultSize="0" print="0" autoFill="0" autoPict="0" macro="[0]!make_injectionsheet">
                <anchor moveWithCells="1" sizeWithCells="1">
                  <from>
                    <xdr:col>0</xdr:col>
                    <xdr:colOff>600075</xdr:colOff>
                    <xdr:row>2</xdr:row>
                    <xdr:rowOff>123825</xdr:rowOff>
                  </from>
                  <to>
                    <xdr:col>3</xdr:col>
                    <xdr:colOff>123825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4" name="sheet_name">
              <controlPr defaultSize="0" autoLine="0" autoPict="0">
                <anchor moveWithCells="1">
                  <from>
                    <xdr:col>0</xdr:col>
                    <xdr:colOff>619125</xdr:colOff>
                    <xdr:row>1</xdr:row>
                    <xdr:rowOff>9525</xdr:rowOff>
                  </from>
                  <to>
                    <xdr:col>3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16</vt:i4>
      </vt:variant>
    </vt:vector>
  </HeadingPairs>
  <TitlesOfParts>
    <vt:vector size="26" baseType="lpstr">
      <vt:lpstr>TOTAL</vt:lpstr>
      <vt:lpstr>REF</vt:lpstr>
      <vt:lpstr>LCN</vt:lpstr>
      <vt:lpstr>ALL</vt:lpstr>
      <vt:lpstr>GF</vt:lpstr>
      <vt:lpstr>PPF</vt:lpstr>
      <vt:lpstr>Y23</vt:lpstr>
      <vt:lpstr>TOGETHER</vt:lpstr>
      <vt:lpstr>injection_form</vt:lpstr>
      <vt:lpstr>INJECTION</vt:lpstr>
      <vt:lpstr>ALL!Print_Area</vt:lpstr>
      <vt:lpstr>GF!Print_Area</vt:lpstr>
      <vt:lpstr>LCN!Print_Area</vt:lpstr>
      <vt:lpstr>PPF!Print_Area</vt:lpstr>
      <vt:lpstr>REF!Print_Area</vt:lpstr>
      <vt:lpstr>TOGETHER!Print_Area</vt:lpstr>
      <vt:lpstr>TOTAL!Print_Area</vt:lpstr>
      <vt:lpstr>'Y23'!Print_Area</vt:lpstr>
      <vt:lpstr>ALL!Print_Titles</vt:lpstr>
      <vt:lpstr>GF!Print_Titles</vt:lpstr>
      <vt:lpstr>LCN!Print_Titles</vt:lpstr>
      <vt:lpstr>PPF!Print_Titles</vt:lpstr>
      <vt:lpstr>REF!Print_Titles</vt:lpstr>
      <vt:lpstr>TOGETHER!Print_Titles</vt:lpstr>
      <vt:lpstr>TOTAL!Print_Titles</vt:lpstr>
      <vt:lpstr>'Y23'!Print_Titles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NFS0553</cp:lastModifiedBy>
  <cp:lastPrinted>2020-01-29T01:28:31Z</cp:lastPrinted>
  <dcterms:created xsi:type="dcterms:W3CDTF">2018-01-02T09:23:16Z</dcterms:created>
  <dcterms:modified xsi:type="dcterms:W3CDTF">2021-09-06T09:14:34Z</dcterms:modified>
</cp:coreProperties>
</file>